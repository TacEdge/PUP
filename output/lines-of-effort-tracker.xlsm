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  <sheet name="Lists" sheetId="3" state="hidden" r:id="rIdDates"/>
  </sheets>
  <definedNames>
    <definedName name="_xlnm.Print_Area" localSheetId="0">'Lines of Effort Tracker'!$A$1:$H$80</definedName>
    <definedName name="_xlnm.Print_Titles" localSheetId="0">'Lines of Effort Tracker'!$7:$7</definedName>
  </definedNames>
  <calcPr fullCalcOnLoad="1"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<sst xmlns="http://schemas.openxmlformats.org/spreadsheetml/2006/main" count="100" uniqueCount="78">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</sst>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000000"/>
      <name val="Arial"/>
      <family val="2"/>
    </font>
    <font>
      <b/>
      <sz val="7"/>
      <color rgb="FF002516"/>
      <name val="Arial"/>
      <family val="2"/>
    </font>
    <font>
      <b/>
      <sz val="22"/>
      <color rgb="FF000000"/>
      <name val="Arial"/>
      <family val="2"/>
    </font>
    <font>
      <b/>
      <sz val="8.5"/>
      <color rgb="FFFFFFFF"/>
      <name val="Arial"/>
      <family val="2"/>
    </font>
    <font>
      <sz val="10"/>
      <color rgb="FF222222"/>
      <name val="Arial"/>
      <family val="2"/>
    </font>
    <font>
      <sz val="10"/>
      <color rgb="FF8A8A8A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6F6F3"/>
        <bgColor rgb="FFFFFFFF"/>
      </patternFill>
    </fill>
  </fills>
  <borders count="2">
    <border>
      <left/>
      <right/>
      <top/>
      <bottom/>
      <diagonal/>
    </border>
    <border>
      <left style="thin">
        <color rgb="FFD9D9D2"/>
      </left>
      <right style="thin">
        <color rgb="FFD9D9D2"/>
      </right>
      <top style="thin">
        <color rgb="FFD9D9D2"/>
      </top>
      <bottom style="thin">
        <color rgb="FFD9D9D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62026"/>
        <name val="Arial"/>
        <charset val="1"/>
      </font>
    </dxf>
    <dxf>
      <font>
        <b/>
        <sz val="22"/>
        <color rgb="FFC62026"/>
        <name val="Arial"/>
        <charset val="1"/>
      </font>
    </dxf>
    <dxf>
      <font>
        <b/>
        <sz val="10"/>
        <color rgb="FF222222"/>
        <name val="Arial"/>
        <charset val="1"/>
      </font>
      <fill>
        <patternFill>
          <bgColor rgb="FFEEF1E5"/>
        </patternFill>
      </fill>
    </dxf>
    <dxf>
      <font>
        <b/>
        <sz val="10"/>
        <color rgb="FF002516"/>
        <name val="Arial"/>
        <charset val="1"/>
      </font>
      <fill>
        <patternFill>
          <bgColor rgb="FFCDD2B7"/>
        </patternFill>
      </fill>
    </dxf>
    <dxf>
      <font>
        <b/>
        <sz val="10"/>
        <color rgb="FFFFFFFF"/>
        <name val="Arial"/>
        <charset val="1"/>
      </font>
      <fill>
        <patternFill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Dates" Type="http://schemas.openxmlformats.org/officeDocument/2006/relationships/worksheet" Target="worksheets/sheet3.xml"/><Relationship Id="rIdVBA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50800</xdr:rowOff>
    </xdr:from>
    <xdr:ext cx="1219200" cy="406400"/>
    <xdr:pic>
      <xdr:nvPicPr>
        <xdr:cNvPr id="2" name="NZ Army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19200" cy="4064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40" totalsRowShown="0">
  <autoFilter ref="A7:H40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Drawing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0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8.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40" customHeight="1" x14ac:dyDescent="0.2">
      <c r="A2" s="13"/>
      <c r="B2" s="13" t="s">
        <v>0</v>
      </c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COUNTA(B8:B80)</f>
        <v>24</v>
      </c>
      <c r="B5" s="15"/>
      <c r="C5" s="1">
        <f>COUNTIF(A8:A80,"Critical")</f>
        <v>8</v>
      </c>
      <c r="D5" s="1">
        <f>COUNTIF(A8:A80,"Important")</f>
        <v>8</v>
      </c>
      <c r="E5" s="1">
        <f>COUNTIF(A8:A80,"Routine")</f>
        <v>8</v>
      </c>
      <c r="F5" s="15">
        <f ca="1">COUNTIF(G8:G80,"&lt;"&amp;TODAY()-14)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1.5" customHeight="1">
      <c r="A16" s="5" t="s">
        <v>13</v>
      </c>
      <c r="B16" s="6" t="inlineStr">
        <is>
          <t>Lead Leaders Officer Nominations</t>
        </is>
      </c>
      <c r="C16" s="6" t="inlineStr">
        <is>
          <t>Final attendance confirmed</t>
        </is>
      </c>
      <c r="D16" s="7">
        <v>0</v>
      </c>
      <c r="E16" s="6" t="inlineStr">
        <is>
          <t>Chase remaining officer nominations and confirm final attendance</t>
        </is>
      </c>
      <c r="F16" s="6" t="inlineStr">
        <is>
          <t>Due tomorrow. Owner: Tony</t>
        </is>
      </c>
      <c r="G16" s="8">
        <v>46272</v>
      </c>
      <c r="H16" s="16" t="s">
        <v>75</v>
      </c>
    </row>
    <row r="17" spans="1:8" ht="31.5" customHeight="1">
      <c r="A17" s="5" t="s">
        <v>13</v>
      </c>
      <c r="B17" s="6" t="inlineStr">
        <is>
          <t>Engineer Survival: Lighthouse Approval</t>
        </is>
      </c>
      <c r="C17" s="6" t="inlineStr">
        <is>
          <t>Lighthouse approval received</t>
        </is>
      </c>
      <c r="D17" s="7">
        <v>0</v>
      </c>
      <c r="E17" s="6" t="inlineStr">
        <is>
          <t>Follow up Lighthouse approval</t>
        </is>
      </c>
      <c r="F17" s="6" t="inlineStr">
        <is>
          <t>ASAP. Owner: Red</t>
        </is>
      </c>
      <c r="G17" s="8">
        <v>46272</v>
      </c>
      <c r="H17" s="16" t="s">
        <v>75</v>
      </c>
    </row>
    <row r="18" spans="1:8" ht="31.5" customHeight="1">
      <c r="A18" s="5" t="s">
        <v>13</v>
      </c>
      <c r="B18" s="6" t="inlineStr">
        <is>
          <t>Staff and Contractor Onboarding SOP</t>
        </is>
      </c>
      <c r="C18" s="6" t="inlineStr">
        <is>
          <t>Clear, repeatable onboarding SOP in place covering safety induction, supervision, role suitability, due diligence and documented completion</t>
        </is>
      </c>
      <c r="D18" s="7">
        <v>0</v>
      </c>
      <c r="E18" s="6" t="inlineStr">
        <is>
          <t>Review and tighten the onboarding and induction SOP</t>
        </is>
      </c>
      <c r="F18" s="6" t="inlineStr">
        <is>
          <t>ASAP. Owner: Tony. Lesson from the recent contractor engagement: fix the system, not just the personnel issue</t>
        </is>
      </c>
      <c r="G18" s="8">
        <v>46272</v>
      </c>
      <c r="H18" s="16" t="s">
        <v>75</v>
      </c>
    </row>
    <row r="19" spans="1:8" ht="31.5" customHeight="1">
      <c r="A19" s="5" t="s">
        <v>13</v>
      </c>
      <c r="B19" s="6" t="inlineStr">
        <is>
          <t>Contractor Engagement Close-out</t>
        </is>
      </c>
      <c r="C19" s="6" t="inlineStr">
        <is>
          <t>Engagement formally closed with no expectation of future work</t>
        </is>
      </c>
      <c r="D19" s="7">
        <v>0</v>
      </c>
      <c r="E19" s="6" t="inlineStr">
        <is>
          <t>Make the close-out call to Drew and record the outcome</t>
        </is>
      </c>
      <c r="F19" s="6" t="inlineStr">
        <is>
          <t>ASAP. Individual not to be re-engaged</t>
        </is>
      </c>
      <c r="G19" s="8">
        <v>46272</v>
      </c>
      <c r="H19" s="16" t="s">
        <v>75</v>
      </c>
    </row>
    <row r="20" spans="1:8" ht="31.5" customHeight="1">
      <c r="A20" s="5" t="s">
        <v>13</v>
      </c>
      <c r="B20" s="6" t="inlineStr">
        <is>
          <t>Nemesis and Lead Teams Alignment</t>
        </is>
      </c>
      <c r="C20" s="6" t="inlineStr">
        <is>
          <t>Nemesis purpose clarified with OCS and Army leadership, or redesigned to deliver the intended Lead Teams outcomes</t>
        </is>
      </c>
      <c r="D20" s="7">
        <v>0</v>
      </c>
      <c r="E20" s="6" t="inlineStr">
        <is>
          <t>Engage Army/OCS leadership on intended outcomes, perform/recovery phases, coaching and positioning</t>
        </is>
      </c>
      <c r="F20" s="6" t="inlineStr">
        <is>
          <t>Upcoming. Missing elements: structured cognitive preparation, coaching/reflection and recovery phases</t>
        </is>
      </c>
      <c r="G20" s="8">
        <v>46272</v>
      </c>
      <c r="H20" s="16" t="s">
        <v>75</v>
      </c>
    </row>
    <row r="21" spans="1:8" ht="31.5" customHeight="1">
      <c r="A21" s="5" t="s">
        <v>13</v>
      </c>
      <c r="B21" s="6" t="inlineStr">
        <is>
          <t>H&amp;S Audit Actions</t>
        </is>
      </c>
      <c r="C21" s="6" t="inlineStr">
        <is>
          <t>All outstanding audit actions closed</t>
        </is>
      </c>
      <c r="D21" s="7">
        <v>0</v>
      </c>
      <c r="E21" s="6" t="inlineStr">
        <is>
          <t>Track outstanding actions, including kayak audit follow-up</t>
        </is>
      </c>
      <c r="F21" s="6" t="inlineStr">
        <is>
          <t>Ongoing. Owner: Jim</t>
        </is>
      </c>
      <c r="G21" s="8">
        <v>46272</v>
      </c>
      <c r="H21" s="16" t="s">
        <v>75</v>
      </c>
    </row>
    <row r="22" spans="1:8" ht="38.25" customHeight="1" x14ac:dyDescent="0.2">
      <c r="A22" s="5" t="s">
        <v>27</v>
      </c>
      <c r="B22" s="6" t="s">
        <v>14</v>
      </c>
      <c r="C22" s="6" t="s">
        <v>65</v>
      </c>
      <c r="D22" s="7">
        <v>0.1</v>
      </c>
      <c r="E22" s="6" t="s">
        <v>15</v>
      </c>
      <c r="F22" s="6"/>
      <c r="G22" s="8">
        <v>46261</v>
      </c>
      <c r="H22" s="16" t="s">
        <v>75</v>
      </c>
    </row>
    <row r="23" spans="1:8" ht="31.5" customHeight="1" x14ac:dyDescent="0.2">
      <c r="A23" s="5" t="s">
        <v>27</v>
      </c>
      <c r="B23" s="6" t="s">
        <v>28</v>
      </c>
      <c r="C23" s="6" t="s">
        <v>29</v>
      </c>
      <c r="D23" s="7">
        <v>0.2</v>
      </c>
      <c r="E23" s="11" t="s">
        <v>69</v>
      </c>
      <c r="F23" s="6" t="s">
        <v>30</v>
      </c>
      <c r="G23" s="12">
        <v>46261</v>
      </c>
      <c r="H23" s="16" t="s">
        <v>75</v>
      </c>
    </row>
    <row r="24" spans="1:8" ht="31.5" customHeight="1" x14ac:dyDescent="0.2">
      <c r="A24" s="5" t="s">
        <v>27</v>
      </c>
      <c r="B24" s="6" t="s">
        <v>31</v>
      </c>
      <c r="C24" s="6" t="s">
        <v>32</v>
      </c>
      <c r="D24" s="7">
        <v>0.7</v>
      </c>
      <c r="E24" s="6" t="s">
        <v>33</v>
      </c>
      <c r="F24" s="6" t="s">
        <v>34</v>
      </c>
      <c r="G24" s="8">
        <v>46261</v>
      </c>
      <c r="H24" s="16" t="s">
        <v>75</v>
      </c>
    </row>
    <row r="25" spans="1:8" ht="31.5" customHeight="1" x14ac:dyDescent="0.2">
      <c r="A25" s="5" t="s">
        <v>27</v>
      </c>
      <c r="B25" s="9" t="s">
        <v>35</v>
      </c>
      <c r="C25" s="9" t="s">
        <v>36</v>
      </c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27</v>
      </c>
      <c r="B26" s="9" t="s">
        <v>37</v>
      </c>
      <c r="C26" s="9" t="s">
        <v>38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27</v>
      </c>
      <c r="B27" s="6" t="s">
        <v>39</v>
      </c>
      <c r="C27" s="6" t="s">
        <v>40</v>
      </c>
      <c r="D27" s="7">
        <v>0.1</v>
      </c>
      <c r="E27" s="6" t="s">
        <v>71</v>
      </c>
      <c r="F27" s="6" t="s">
        <v>72</v>
      </c>
      <c r="G27" s="8">
        <v>46272</v>
      </c>
      <c r="H27" s="16" t="s">
        <v>75</v>
      </c>
    </row>
    <row r="28" spans="1:8" ht="24.75" x14ac:dyDescent="0.2">
      <c r="A28" s="5" t="s">
        <v>27</v>
      </c>
      <c r="B28" s="6" t="s">
        <v>41</v>
      </c>
      <c r="C28" s="6" t="s">
        <v>42</v>
      </c>
      <c r="D28" s="7">
        <v>0.4</v>
      </c>
      <c r="E28" s="6" t="s">
        <v>43</v>
      </c>
      <c r="F28" s="6"/>
      <c r="G28" s="8">
        <v>46261</v>
      </c>
      <c r="H28" s="16" t="s">
        <v>75</v>
      </c>
    </row>
    <row r="29" spans="1:8" ht="24.75" x14ac:dyDescent="0.2">
      <c r="A29" s="5" t="s">
        <v>27</v>
      </c>
      <c r="B29" s="6" t="s">
        <v>44</v>
      </c>
      <c r="C29" s="6" t="s">
        <v>45</v>
      </c>
      <c r="D29" s="7">
        <v>0.05</v>
      </c>
      <c r="E29" s="6" t="s">
        <v>46</v>
      </c>
      <c r="F29" s="6"/>
      <c r="G29" s="8">
        <v>46261</v>
      </c>
      <c r="H29" s="16" t="s">
        <v>75</v>
      </c>
    </row>
    <row r="30" spans="1:8" ht="31.5" customHeight="1">
      <c r="A30" s="5" t="s">
        <v>27</v>
      </c>
      <c r="B30" s="6" t="inlineStr">
        <is>
          <t>ATG Submission Presentation</t>
        </is>
      </c>
      <c r="C30" s="6" t="inlineStr">
        <is>
          <t>Presentation prepared and reviewed by Dave</t>
        </is>
      </c>
      <c r="D30" s="7">
        <v>0</v>
      </c>
      <c r="E30" s="6" t="inlineStr">
        <is>
          <t>Prepare the presentation and have Dave review it</t>
        </is>
      </c>
      <c r="F30" s="6" t="inlineStr">
        <is>
          <t>Wed to Thu</t>
        </is>
      </c>
      <c r="G30" s="8">
        <v>46272</v>
      </c>
      <c r="H30" s="16" t="s">
        <v>75</v>
      </c>
    </row>
    <row r="31" spans="1:8" ht="31.5" customHeight="1">
      <c r="A31" s="5" t="s">
        <v>27</v>
      </c>
      <c r="B31" s="6" t="inlineStr">
        <is>
          <t>Linton Team-Building Activity (16 to 17 Nov)</t>
        </is>
      </c>
      <c r="C31" s="6" t="inlineStr">
        <is>
          <t>Leadership-development programme developed with instructors and session responsibilities allocated</t>
        </is>
      </c>
      <c r="D31" s="7">
        <v>0</v>
      </c>
      <c r="E31" s="6" t="inlineStr">
        <is>
          <t>Develop the programme and allocate instructors and sessions</t>
        </is>
      </c>
      <c r="F31" s="6" t="inlineStr">
        <is>
          <t>Before Nov. Owner: TBC</t>
        </is>
      </c>
      <c r="G31" s="8">
        <v>46272</v>
      </c>
      <c r="H31" s="16" t="s">
        <v>75</v>
      </c>
    </row>
    <row r="32" spans="1:8" ht="31.5" customHeight="1">
      <c r="A32" s="5" t="s">
        <v>27</v>
      </c>
      <c r="B32" s="6" t="inlineStr">
        <is>
          <t>End-of-Year Farewell Event</t>
        </is>
      </c>
      <c r="C32" s="6" t="inlineStr">
        <is>
          <t>Event organised</t>
        </is>
      </c>
      <c r="D32" s="7">
        <v>0</v>
      </c>
      <c r="E32" s="6" t="inlineStr">
        <is>
          <t>Investigate the week of 23 Nov as the preferred option and confirm</t>
        </is>
      </c>
      <c r="F32" s="6" t="inlineStr">
        <is>
          <t>Confirm soon. Owner: Red</t>
        </is>
      </c>
      <c r="G32" s="8">
        <v>46272</v>
      </c>
      <c r="H32" s="16" t="s">
        <v>75</v>
      </c>
    </row>
    <row r="33" spans="1:8" ht="31.5" customHeight="1" x14ac:dyDescent="0.2">
      <c r="A33" s="5" t="s">
        <v>47</v>
      </c>
      <c r="B33" s="6" t="s">
        <v>48</v>
      </c>
      <c r="C33" s="6" t="s">
        <v>49</v>
      </c>
      <c r="D33" s="7">
        <v>0</v>
      </c>
      <c r="E33" s="6"/>
      <c r="F33" s="6"/>
      <c r="G33" s="8">
        <v>46261</v>
      </c>
      <c r="H33" s="16" t="s">
        <v>75</v>
      </c>
    </row>
    <row r="34" spans="1:8" ht="30" customHeight="1" x14ac:dyDescent="0.2">
      <c r="A34" s="5" t="s">
        <v>47</v>
      </c>
      <c r="B34" s="9" t="s">
        <v>50</v>
      </c>
      <c r="C34" s="6"/>
      <c r="D34" s="7">
        <v>1</v>
      </c>
      <c r="E34" s="6"/>
      <c r="F34" s="6"/>
      <c r="G34" s="10">
        <v>46261</v>
      </c>
      <c r="H34" s="16" t="s">
        <v>75</v>
      </c>
    </row>
    <row r="35" spans="1:8" ht="31.5" customHeight="1" x14ac:dyDescent="0.2">
      <c r="A35" s="5" t="s">
        <v>47</v>
      </c>
      <c r="B35" s="9" t="s">
        <v>51</v>
      </c>
      <c r="C35" s="9" t="s">
        <v>52</v>
      </c>
      <c r="D35" s="7">
        <v>1</v>
      </c>
      <c r="E35" s="6"/>
      <c r="F35" s="6"/>
      <c r="G35" s="10">
        <v>46261</v>
      </c>
      <c r="H35" s="16" t="s">
        <v>75</v>
      </c>
    </row>
    <row r="36" spans="1:8" ht="31.5" customHeight="1" x14ac:dyDescent="0.2">
      <c r="A36" s="5" t="s">
        <v>47</v>
      </c>
      <c r="B36" s="9" t="s">
        <v>53</v>
      </c>
      <c r="C36" s="9" t="s">
        <v>54</v>
      </c>
      <c r="D36" s="7">
        <v>1</v>
      </c>
      <c r="E36" s="6"/>
      <c r="F36" s="6"/>
      <c r="G36" s="10">
        <v>46261</v>
      </c>
      <c r="H36" s="16" t="s">
        <v>75</v>
      </c>
    </row>
    <row r="37" spans="1:8" ht="31.5" customHeight="1" x14ac:dyDescent="0.2">
      <c r="A37" s="5" t="s">
        <v>47</v>
      </c>
      <c r="B37" s="9" t="s">
        <v>55</v>
      </c>
      <c r="C37" s="9" t="s">
        <v>56</v>
      </c>
      <c r="D37" s="7">
        <v>1</v>
      </c>
      <c r="E37" s="6"/>
      <c r="F37" s="6"/>
      <c r="G37" s="10">
        <v>46261</v>
      </c>
      <c r="H37" s="16" t="s">
        <v>75</v>
      </c>
    </row>
    <row r="38" spans="1:8" ht="30" customHeight="1" x14ac:dyDescent="0.2">
      <c r="A38" s="5" t="s">
        <v>47</v>
      </c>
      <c r="B38" s="9" t="s">
        <v>57</v>
      </c>
      <c r="C38" s="9" t="s">
        <v>58</v>
      </c>
      <c r="D38" s="7">
        <v>1</v>
      </c>
      <c r="E38" s="6"/>
      <c r="F38" s="6"/>
      <c r="G38" s="10">
        <v>46261</v>
      </c>
      <c r="H38" s="16" t="s">
        <v>75</v>
      </c>
    </row>
    <row r="39" spans="1:8" ht="45" customHeight="1" x14ac:dyDescent="0.2">
      <c r="A39" s="5" t="s">
        <v>47</v>
      </c>
      <c r="B39" s="9" t="s">
        <v>59</v>
      </c>
      <c r="C39" s="9" t="s">
        <v>60</v>
      </c>
      <c r="D39" s="7">
        <v>1</v>
      </c>
      <c r="E39" s="6"/>
      <c r="F39" s="6"/>
      <c r="G39" s="10">
        <v>46261</v>
      </c>
      <c r="H39" s="16" t="s">
        <v>75</v>
      </c>
    </row>
    <row r="40" spans="1:8" ht="31.5" customHeight="1" x14ac:dyDescent="0.2">
      <c r="A40" s="5" t="s">
        <v>47</v>
      </c>
      <c r="B40" s="9" t="s">
        <v>61</v>
      </c>
      <c r="C40" s="9" t="s">
        <v>62</v>
      </c>
      <c r="D40" s="7">
        <v>1</v>
      </c>
      <c r="E40" s="6"/>
      <c r="F40" s="6"/>
      <c r="G40" s="10">
        <v>46261</v>
      </c>
      <c r="H40" s="16" t="s">
        <v>75</v>
      </c>
    </row>
  </sheetData>
  <mergeCells count="5">
    <mergeCell ref="B2:G2"/>
    <mergeCell ref="A4:B4"/>
    <mergeCell ref="F4:G4"/>
    <mergeCell ref="A5:B5"/>
    <mergeCell ref="F5:G5"/>
  </mergeCells>
  <conditionalFormatting sqref="A8:A80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80">
    <cfRule type="dataBar" priority="7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80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80" xr:uid="{00000000-0002-0000-0000-000000000000}">
      <formula1>"Critical,Important,Routine"</formula1>
      <formula2>0</formula2>
    </dataValidation>
    <dataValidation type="list" allowBlank="1" showInputMessage="1" promptTitle="Progress" prompt="Pick a percentage from the drop-down, or double-click the cell to add 10%." sqref="D8:D80">
      <formula1>Lists!$B$1:$B$11</formula1>
    </dataValidation>
    <dataValidation type="list" allowBlank="1" showInputMessage="1" promptTitle="Last Updated" prompt="Pick a date from the drop-down (today is first), or double-click the cell to stamp today." sqref="G8:G80">
      <formula1>Lists!$A$1:$A$14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drawing r:id="rIdDrawing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D8:D80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8.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dataValidations count="2">
    <dataValidation type="list" allowBlank="1" showInputMessage="1" promptTitle="Progress" prompt="Pick a percentage from the drop-down, or double-click the cell to add 10%." sqref="D7:D200">
      <formula1>Lists!$B$1:$B$11</formula1>
    </dataValidation>
    <dataValidation type="list" allowBlank="1" showInputMessage="1" promptTitle="Last Updated" prompt="Pick a date from the drop-down (today is first), or double-click the cell to stamp today." sqref="G7:G200">
      <formula1>Lists!$A$1:$A$14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D7:D200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/>
  <dimension ref="A1:B14"/>
  <sheetViews>
    <sheetView workbookViewId="0"/>
  </sheetViews>
  <sheetFormatPr defaultRowHeight="15"/>
  <cols>
    <col min="1" max="2" width="14" customWidth="1"/>
  </cols>
  <sheetData>
    <row r="1" spans="1:2">
      <c r="A1" s="8">
        <f>TODAY()</f>
        <v>46288</v>
      </c>
      <c r="B1" s="7">
        <v>0</v>
      </c>
    </row>
    <row r="2" spans="1:2">
      <c r="A2" s="8">
        <f>TODAY()-1</f>
        <v>46287</v>
      </c>
      <c r="B2" s="7">
        <v>0.1</v>
      </c>
    </row>
    <row r="3" spans="1:2">
      <c r="A3" s="8">
        <f>TODAY()-2</f>
        <v>46286</v>
      </c>
      <c r="B3" s="7">
        <v>0.2</v>
      </c>
    </row>
    <row r="4" spans="1:2">
      <c r="A4" s="8">
        <f>TODAY()-3</f>
        <v>46285</v>
      </c>
      <c r="B4" s="7">
        <v>0.3</v>
      </c>
    </row>
    <row r="5" spans="1:2">
      <c r="A5" s="8">
        <f>TODAY()-4</f>
        <v>46284</v>
      </c>
      <c r="B5" s="7">
        <v>0.4</v>
      </c>
    </row>
    <row r="6" spans="1:2">
      <c r="A6" s="8">
        <f>TODAY()-5</f>
        <v>46283</v>
      </c>
      <c r="B6" s="7">
        <v>0.5</v>
      </c>
    </row>
    <row r="7" spans="1:2">
      <c r="A7" s="8">
        <f>TODAY()-6</f>
        <v>46282</v>
      </c>
      <c r="B7" s="7">
        <v>0.6</v>
      </c>
    </row>
    <row r="8" spans="1:2">
      <c r="A8" s="8">
        <f>TODAY()-7</f>
        <v>46281</v>
      </c>
      <c r="B8" s="7">
        <v>0.7</v>
      </c>
    </row>
    <row r="9" spans="1:2">
      <c r="A9" s="8">
        <f>TODAY()-8</f>
        <v>46280</v>
      </c>
      <c r="B9" s="7">
        <v>0.8</v>
      </c>
    </row>
    <row r="10" spans="1:2">
      <c r="A10" s="8">
        <f>TODAY()-9</f>
        <v>46279</v>
      </c>
      <c r="B10" s="7">
        <v>0.9</v>
      </c>
    </row>
    <row r="11" spans="1:2">
      <c r="A11" s="8">
        <f>TODAY()-10</f>
        <v>46278</v>
      </c>
      <c r="B11" s="7">
        <v>1</v>
      </c>
    </row>
    <row r="12" spans="1:2">
      <c r="A12" s="8">
        <f>TODAY()-11</f>
        <v>46277</v>
      </c>
    </row>
    <row r="13" spans="1:2">
      <c r="A13" s="8">
        <f>TODAY()-12</f>
        <v>46276</v>
      </c>
    </row>
    <row r="14" spans="1:2">
      <c r="A14" s="8">
        <f>TODAY()-13</f>
        <v>46275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