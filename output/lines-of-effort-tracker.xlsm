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</sheets>
  <definedNames>
    <definedName name="_xlnm.Print_Area" localSheetId="0">'Lines of Effort Tracker'!$A$1:$H$38</definedName>
    <definedName name="_xlnm.Print_Titles" localSheetId="0">'Lines of Effort Tracker'!$7:$7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<sst xmlns="http://schemas.openxmlformats.org/spreadsheetml/2006/main" count="100" uniqueCount="78">
  <si>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-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</si>
  <si>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</si>
  <si>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</si>
  <si>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</si>
  <si>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</si>
  <si>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</si>
  <si>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</si>
  <si>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</si>
  <si>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</si>
  <si>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</si>
  <si>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</si>
  <si>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</si>
  <si>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</si>
  <si>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</si>
  <si>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</si>
  <si>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</si>
  <si>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</si>
  <si>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</si>
  <si>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</si>
  <si>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</si>
  <si>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</si>
  <si>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</si>
  <si>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</si>
  <si>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</si>
  <si>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</si>
  <si>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</si>
  <si>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</si>
  <si>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</si>
  <si>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</si>
  <si>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</si>
  <si>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</si>
  <si>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</si>
  <si>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</si>
  <si>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</si>
  <si>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</si>
  <si>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</si>
  <si>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</si>
  <si>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</si>
  <si>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</si>
  <si>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</si>
  <si>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</si>
  <si>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</si>
  <si>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</si>
  <si>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</si>
  <si>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</si>
  <si>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</si>
  <si>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</si>
  <si>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</si>
  <si>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</si>
  <si>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</si>
  <si>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</si>
  <si>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</si>
  <si>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</si>
  <si>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</si>
  <si>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</si>
  <si>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</si>
  <si>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</si>
  <si>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</si>
  <si>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</si>
  <si>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</si>
  <si>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</si>
  <si>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</si>
  <si>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</si>
  <si>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</si>
  <si>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</si>
  <si>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</si>
  <si>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</si>
  <si>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</si>
  <si>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</si>
  <si>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</si>
  <si>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</si>
  <si>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</si>
  <si>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</si>
  <si>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</si>
  <si>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</si>
  <si>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</si>
  <si>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-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</si>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</sst>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b/>
      <sz val="8"/>
      <color rgb="FF222222"/>
      <name val="Arial"/>
      <family val="2"/>
    </font>
    <font>
      <b/>
      <sz val="24"/>
      <color rgb="FF222222"/>
      <name val="Arial"/>
      <family val="2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theme="0" tint="-0.14999847407452621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2F2F2"/>
        <bgColor rgb="FFFFFFF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98A00"/>
        <name val="Arial"/>
        <charset val="1"/>
      </font>
    </dxf>
    <dxf>
      <font>
        <b/>
        <sz val="24"/>
        <color rgb="FFC98A00"/>
        <name val="Arial"/>
        <charset val="1"/>
      </font>
    </dxf>
    <dxf>
      <font>
        <b/>
        <sz val="10"/>
        <color rgb="FFFFFFFF"/>
        <name val="Arial"/>
        <charset val="1"/>
      </font>
      <fill>
        <patternFill>
          <bgColor rgb="FF2E7D32"/>
        </patternFill>
      </fill>
    </dxf>
    <dxf>
      <font>
        <b/>
        <sz val="10"/>
        <color rgb="FF3A2B00"/>
        <name val="Arial"/>
        <charset val="1"/>
      </font>
      <fill>
        <patternFill>
          <bgColor rgb="FFC98A00"/>
        </patternFill>
      </fill>
    </dxf>
    <dxf>
      <font>
        <b/>
        <sz val="10"/>
        <color rgb="FFFFFFFF"/>
        <name val="Arial"/>
        <charset val="1"/>
      </font>
      <fill>
        <patternFill>
          <bgColor rgb="FFC0392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VBA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31" totalsRowShown="0">
  <autoFilter ref="A7:H31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1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31.5" customHeight="1" x14ac:dyDescent="0.2">
      <c r="A2" s="13" t="s">
        <v>0</v>
      </c>
      <c r="B2" s="13"/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COUNTA(B8:B38)</f>
        <v>24</v>
      </c>
      <c r="B5" s="15"/>
      <c r="C5" s="1">
        <f>COUNTIF(A8:A38,"Critical")</f>
        <v>8</v>
      </c>
      <c r="D5" s="1">
        <f>COUNTIF(A8:A38,"Important")</f>
        <v>8</v>
      </c>
      <c r="E5" s="1">
        <f>COUNTIF(A8:A38,"Routine")</f>
        <v>8</v>
      </c>
      <c r="F5" s="15">
        <f ca="1">COUNTIF(G8:G38,"&lt;"&amp;TODAY()-14)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8.25" customHeight="1" x14ac:dyDescent="0.2">
      <c r="A16" s="5" t="s">
        <v>27</v>
      </c>
      <c r="B16" s="6" t="s">
        <v>14</v>
      </c>
      <c r="C16" s="6" t="s">
        <v>65</v>
      </c>
      <c r="D16" s="7">
        <v>0.1</v>
      </c>
      <c r="E16" s="6" t="s">
        <v>15</v>
      </c>
      <c r="F16" s="6"/>
      <c r="G16" s="8">
        <v>46261</v>
      </c>
      <c r="H16" s="16" t="s">
        <v>75</v>
      </c>
    </row>
    <row r="17" spans="1:8" ht="31.5" customHeight="1" x14ac:dyDescent="0.2">
      <c r="A17" s="5" t="s">
        <v>27</v>
      </c>
      <c r="B17" s="6" t="s">
        <v>28</v>
      </c>
      <c r="C17" s="6" t="s">
        <v>29</v>
      </c>
      <c r="D17" s="7">
        <v>0.2</v>
      </c>
      <c r="E17" s="11" t="s">
        <v>69</v>
      </c>
      <c r="F17" s="6" t="s">
        <v>30</v>
      </c>
      <c r="G17" s="12">
        <v>46261</v>
      </c>
      <c r="H17" s="16" t="s">
        <v>75</v>
      </c>
    </row>
    <row r="18" spans="1:8" ht="31.5" customHeight="1" x14ac:dyDescent="0.2">
      <c r="A18" s="5" t="s">
        <v>27</v>
      </c>
      <c r="B18" s="6" t="s">
        <v>31</v>
      </c>
      <c r="C18" s="6" t="s">
        <v>32</v>
      </c>
      <c r="D18" s="7">
        <v>0.7</v>
      </c>
      <c r="E18" s="6" t="s">
        <v>33</v>
      </c>
      <c r="F18" s="6" t="s">
        <v>34</v>
      </c>
      <c r="G18" s="8">
        <v>46261</v>
      </c>
      <c r="H18" s="16" t="s">
        <v>75</v>
      </c>
    </row>
    <row r="19" spans="1:8" ht="31.5" customHeight="1" x14ac:dyDescent="0.2">
      <c r="A19" s="5" t="s">
        <v>27</v>
      </c>
      <c r="B19" s="9" t="s">
        <v>35</v>
      </c>
      <c r="C19" s="9" t="s">
        <v>36</v>
      </c>
      <c r="D19" s="7">
        <v>1</v>
      </c>
      <c r="E19" s="6"/>
      <c r="F19" s="6"/>
      <c r="G19" s="10">
        <v>46261</v>
      </c>
      <c r="H19" s="16" t="s">
        <v>75</v>
      </c>
    </row>
    <row r="20" spans="1:8" ht="31.5" customHeight="1" x14ac:dyDescent="0.2">
      <c r="A20" s="5" t="s">
        <v>27</v>
      </c>
      <c r="B20" s="9" t="s">
        <v>37</v>
      </c>
      <c r="C20" s="9" t="s">
        <v>38</v>
      </c>
      <c r="D20" s="7">
        <v>1</v>
      </c>
      <c r="E20" s="6"/>
      <c r="F20" s="6"/>
      <c r="G20" s="10">
        <v>46261</v>
      </c>
      <c r="H20" s="16" t="s">
        <v>75</v>
      </c>
    </row>
    <row r="21" spans="1:8" ht="31.5" customHeight="1" x14ac:dyDescent="0.2">
      <c r="A21" s="5" t="s">
        <v>27</v>
      </c>
      <c r="B21" s="6" t="s">
        <v>39</v>
      </c>
      <c r="C21" s="6" t="s">
        <v>40</v>
      </c>
      <c r="D21" s="7">
        <v>0.1</v>
      </c>
      <c r="E21" s="6" t="s">
        <v>71</v>
      </c>
      <c r="F21" s="6" t="s">
        <v>72</v>
      </c>
      <c r="G21" s="8">
        <v>46272</v>
      </c>
      <c r="H21" s="16" t="s">
        <v>75</v>
      </c>
    </row>
    <row r="22" spans="1:8" ht="24.75" x14ac:dyDescent="0.2">
      <c r="A22" s="5" t="s">
        <v>27</v>
      </c>
      <c r="B22" s="6" t="s">
        <v>41</v>
      </c>
      <c r="C22" s="6" t="s">
        <v>42</v>
      </c>
      <c r="D22" s="7">
        <v>0.4</v>
      </c>
      <c r="E22" s="6" t="s">
        <v>43</v>
      </c>
      <c r="F22" s="6"/>
      <c r="G22" s="8">
        <v>46261</v>
      </c>
      <c r="H22" s="16" t="s">
        <v>75</v>
      </c>
    </row>
    <row r="23" spans="1:8" ht="24.75" x14ac:dyDescent="0.2">
      <c r="A23" s="5" t="s">
        <v>27</v>
      </c>
      <c r="B23" s="6" t="s">
        <v>44</v>
      </c>
      <c r="C23" s="6" t="s">
        <v>45</v>
      </c>
      <c r="D23" s="7">
        <v>0.05</v>
      </c>
      <c r="E23" s="6" t="s">
        <v>46</v>
      </c>
      <c r="F23" s="6"/>
      <c r="G23" s="8">
        <v>46261</v>
      </c>
      <c r="H23" s="16" t="s">
        <v>75</v>
      </c>
    </row>
    <row r="24" spans="1:8" ht="31.5" customHeight="1" x14ac:dyDescent="0.2">
      <c r="A24" s="5" t="s">
        <v>47</v>
      </c>
      <c r="B24" s="6" t="s">
        <v>48</v>
      </c>
      <c r="C24" s="6" t="s">
        <v>49</v>
      </c>
      <c r="D24" s="7">
        <v>0</v>
      </c>
      <c r="E24" s="6"/>
      <c r="F24" s="6"/>
      <c r="G24" s="8">
        <v>46261</v>
      </c>
      <c r="H24" s="16" t="s">
        <v>75</v>
      </c>
    </row>
    <row r="25" spans="1:8" ht="30" customHeight="1" x14ac:dyDescent="0.2">
      <c r="A25" s="5" t="s">
        <v>47</v>
      </c>
      <c r="B25" s="9" t="s">
        <v>50</v>
      </c>
      <c r="C25" s="6"/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47</v>
      </c>
      <c r="B26" s="9" t="s">
        <v>51</v>
      </c>
      <c r="C26" s="9" t="s">
        <v>52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47</v>
      </c>
      <c r="B27" s="9" t="s">
        <v>53</v>
      </c>
      <c r="C27" s="9" t="s">
        <v>54</v>
      </c>
      <c r="D27" s="7">
        <v>1</v>
      </c>
      <c r="E27" s="6"/>
      <c r="F27" s="6"/>
      <c r="G27" s="10">
        <v>46261</v>
      </c>
      <c r="H27" s="16" t="s">
        <v>75</v>
      </c>
    </row>
    <row r="28" spans="1:8" ht="31.5" customHeight="1" x14ac:dyDescent="0.2">
      <c r="A28" s="5" t="s">
        <v>47</v>
      </c>
      <c r="B28" s="9" t="s">
        <v>55</v>
      </c>
      <c r="C28" s="9" t="s">
        <v>56</v>
      </c>
      <c r="D28" s="7">
        <v>1</v>
      </c>
      <c r="E28" s="6"/>
      <c r="F28" s="6"/>
      <c r="G28" s="10">
        <v>46261</v>
      </c>
      <c r="H28" s="16" t="s">
        <v>75</v>
      </c>
    </row>
    <row r="29" spans="1:8" ht="30" customHeight="1" x14ac:dyDescent="0.2">
      <c r="A29" s="5" t="s">
        <v>47</v>
      </c>
      <c r="B29" s="9" t="s">
        <v>57</v>
      </c>
      <c r="C29" s="9" t="s">
        <v>58</v>
      </c>
      <c r="D29" s="7">
        <v>1</v>
      </c>
      <c r="E29" s="6"/>
      <c r="F29" s="6"/>
      <c r="G29" s="10">
        <v>46261</v>
      </c>
      <c r="H29" s="16" t="s">
        <v>75</v>
      </c>
    </row>
    <row r="30" spans="1:8" ht="45" customHeight="1" x14ac:dyDescent="0.2">
      <c r="A30" s="5" t="s">
        <v>47</v>
      </c>
      <c r="B30" s="9" t="s">
        <v>59</v>
      </c>
      <c r="C30" s="9" t="s">
        <v>60</v>
      </c>
      <c r="D30" s="7">
        <v>1</v>
      </c>
      <c r="E30" s="6"/>
      <c r="F30" s="6"/>
      <c r="G30" s="10">
        <v>46261</v>
      </c>
      <c r="H30" s="16" t="s">
        <v>75</v>
      </c>
    </row>
    <row r="31" spans="1:8" ht="31.5" customHeight="1" x14ac:dyDescent="0.2">
      <c r="A31" s="5" t="s">
        <v>47</v>
      </c>
      <c r="B31" s="9" t="s">
        <v>61</v>
      </c>
      <c r="C31" s="9" t="s">
        <v>62</v>
      </c>
      <c r="D31" s="7">
        <v>1</v>
      </c>
      <c r="E31" s="6"/>
      <c r="F31" s="6"/>
      <c r="G31" s="10">
        <v>46261</v>
      </c>
      <c r="H31" s="16" t="s">
        <v>75</v>
      </c>
    </row>
  </sheetData>
  <mergeCells count="5">
    <mergeCell ref="A2:H2"/>
    <mergeCell ref="A4:B4"/>
    <mergeCell ref="F4:G4"/>
    <mergeCell ref="A5:B5"/>
    <mergeCell ref="F5:G5"/>
  </mergeCells>
  <conditionalFormatting sqref="A8:A38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38">
    <cfRule type="dataBar" priority="7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38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38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38" xr:uid="{00000000-0002-0000-0000-000001000000}">
      <formula1>0</formula1>
      <formula2>1</formula2>
    </dataValidation>
    <dataValidation type="none" allowBlank="1" showInputMessage="1" promptTitle="Last Updated" prompt="Double-click to stamp today's date." sqref="G8:G38"/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D8:D38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D7:D200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