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</sheets>
  <definedNames>
    <definedName name="_xlnm.Print_Area" localSheetId="0">'Lines of Effort Tracker'!$A$1:$H$80</definedName>
    <definedName name="_xlnm.Print_Titles" localSheetId="0">'Lines of Effort Tracker'!$7:$7</definedName>
  </definedNames>
  <calcPr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<sst xmlns="http://schemas.openxmlformats.org/spreadsheetml/2006/main" count="100" uniqueCount="78">
  <si>
    <t>NZALC HQ -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</si>
  <si>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</si>
  <si>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</si>
  <si>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</si>
  <si>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</si>
  <si>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</si>
  <si>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</si>
  <si>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</si>
  <si>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</si>
  <si>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</si>
  <si>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</si>
  <si>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</si>
  <si>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</si>
  <si>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</si>
  <si>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</si>
  <si>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</si>
  <si>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</si>
  <si>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</si>
  <si>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</si>
  <si>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</si>
  <si>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</si>
  <si>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</si>
  <si>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</si>
  <si>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</si>
  <si>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</si>
  <si>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</si>
  <si>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</si>
  <si>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</si>
  <si>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</si>
  <si>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</si>
  <si>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</si>
  <si>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</si>
  <si>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</si>
  <si>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</si>
  <si>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</si>
  <si>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</si>
  <si>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</si>
  <si>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</si>
  <si>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</si>
  <si>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</si>
  <si>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</si>
  <si>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</si>
  <si>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</si>
  <si>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</si>
  <si>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</si>
  <si>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</si>
  <si>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</si>
  <si>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</si>
  <si>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</si>
  <si>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</si>
  <si>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</si>
  <si>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</si>
  <si>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</si>
  <si>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</si>
  <si>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</si>
  <si>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</si>
  <si>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</si>
  <si>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</si>
  <si>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</si>
  <si>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</si>
  <si>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</si>
  <si>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</si>
  <si>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</si>
  <si>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</si>
  <si>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</si>
  <si>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</si>
  <si>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</si>
  <si>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</si>
  <si>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</si>
  <si>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</si>
  <si>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</si>
  <si>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</si>
  <si>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</si>
  <si>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</si>
  <si>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</si>
  <si>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</si>
  <si>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- ARCHIVED LINES OF EFFORT</t>
  </si>
  <si>
    <t>COMPLETED LINES LAND HERE AUTOMATICALLY - CLICK A LINE'S TICK BOX TO SEND IT BACK TO THE ACTIVE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</si>
</sst>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0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b/>
      <sz val="8"/>
      <color rgb="FF222222"/>
      <name val="Arial"/>
      <family val="2"/>
    </font>
    <font>
      <b/>
      <sz val="24"/>
      <color rgb="FF222222"/>
      <name val="Arial"/>
      <family val="2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theme="0" tint="-0.14999847407452621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2F2F2"/>
        <bgColor rgb="FFFFFFFF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98A00"/>
        <name val="Arial"/>
        <charset val="1"/>
      </font>
    </dxf>
    <dxf>
      <font>
        <b/>
        <sz val="24"/>
        <color rgb="FFC98A00"/>
        <name val="Arial"/>
        <charset val="1"/>
      </font>
    </dxf>
    <dxf>
      <font>
        <b/>
        <sz val="10"/>
        <color rgb="FFFFFFFF"/>
        <name val="Arial"/>
        <charset val="1"/>
      </font>
      <fill>
        <patternFill>
          <bgColor rgb="FF2E7D32"/>
        </patternFill>
      </fill>
    </dxf>
    <dxf>
      <font>
        <b/>
        <sz val="10"/>
        <color rgb="FF3A2B00"/>
        <name val="Arial"/>
        <charset val="1"/>
      </font>
      <fill>
        <patternFill>
          <bgColor rgb="FFC98A00"/>
        </patternFill>
      </fill>
    </dxf>
    <dxf>
      <font>
        <b/>
        <sz val="10"/>
        <color rgb="FFFFFFFF"/>
        <name val="Arial"/>
        <charset val="1"/>
      </font>
      <fill>
        <patternFill>
          <bgColor rgb="FFC0392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H42" totalsRowShown="0">
  <autoFilter ref="A7:H42" xr:uid="{00000000-0009-0000-0100-000001000000}"/>
  <tableColumns count="8"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I7" totalsRowShown="0">
  <autoFilter ref="A6:I7"/>
  <tableColumns count="9"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2"/>
  <sheetViews>
    <sheetView showGridLines="0" tabSelected="1" zoomScaleNormal="100" workbookViewId="0">
      <pane ySplit="7" topLeftCell="A8" activePane="bottomLeft" state="frozen"/>
      <selection pane="bottomLeft" activeCell="L21" sqref="L21"/>
    </sheetView>
  </sheetViews>
  <sheetFormatPr defaultColWidth="8.609375" defaultRowHeight="15" x14ac:dyDescent="0.2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</cols>
  <sheetData>
    <row r="1" spans="1:8" ht="6" customHeight="1" x14ac:dyDescent="0.2"/>
    <row r="2" spans="1:8" ht="31.5" customHeight="1" x14ac:dyDescent="0.2">
      <c r="A2" s="13" t="s">
        <v>0</v>
      </c>
      <c r="B2" s="13"/>
      <c r="C2" s="13"/>
      <c r="D2" s="13"/>
      <c r="E2" s="13"/>
      <c r="F2" s="13"/>
      <c r="G2" s="13"/>
      <c r="H2" s="13"/>
    </row>
    <row r="3" spans="1:8" ht="6" customHeight="1" x14ac:dyDescent="0.2"/>
    <row r="4" spans="1:8" ht="15" customHeight="1" x14ac:dyDescent="0.2">
      <c r="A4" s="14" t="s">
        <v>1</v>
      </c>
      <c r="B4" s="14"/>
      <c r="C4" s="2" t="s">
        <v>2</v>
      </c>
      <c r="D4" s="2" t="s">
        <v>3</v>
      </c>
      <c r="E4" s="2" t="s">
        <v>4</v>
      </c>
      <c r="F4" s="14" t="s">
        <v>5</v>
      </c>
      <c r="G4" s="14"/>
      <c r="H4" s="14"/>
    </row>
    <row r="5" spans="1:8" ht="30" customHeight="1" x14ac:dyDescent="0.2">
      <c r="A5" s="15">
        <f>COUNTA(B8:B80)</f>
        <v>24</v>
      </c>
      <c r="B5" s="15"/>
      <c r="C5" s="1">
        <f>COUNTIF(A8:A80,"Critical")</f>
        <v>8</v>
      </c>
      <c r="D5" s="1">
        <f>COUNTIF(A8:A80,"Important")</f>
        <v>8</v>
      </c>
      <c r="E5" s="1">
        <f>COUNTIF(A8:A80,"Routine")</f>
        <v>8</v>
      </c>
      <c r="F5" s="15">
        <f ca="1">COUNTIF(G8:G80,"&lt;"&amp;TODAY()-14)</f>
        <v>0</v>
      </c>
      <c r="G5" s="15"/>
      <c r="H5" s="15"/>
    </row>
    <row r="6" spans="1:8" ht="6" customHeight="1" x14ac:dyDescent="0.2"/>
    <row r="7" spans="1:8" ht="24" customHeight="1" x14ac:dyDescent="0.2">
      <c r="A7" s="3" t="s">
        <v>6</v>
      </c>
      <c r="B7" s="3" t="s">
        <v>7</v>
      </c>
      <c r="C7" s="3" t="s">
        <v>8</v>
      </c>
      <c r="D7" s="4" t="s">
        <v>9</v>
      </c>
      <c r="E7" s="3" t="s">
        <v>10</v>
      </c>
      <c r="F7" s="3" t="s">
        <v>11</v>
      </c>
      <c r="G7" s="4" t="s">
        <v>12</v>
      </c>
      <c r="H7" s="4" t="s">
        <v>73</v>
      </c>
    </row>
    <row r="8" spans="1:8" ht="30" customHeight="1" x14ac:dyDescent="0.2">
      <c r="A8" s="5" t="s">
        <v>13</v>
      </c>
      <c r="B8" s="9" t="s">
        <v>16</v>
      </c>
      <c r="C8" s="6"/>
      <c r="D8" s="7">
        <v>1</v>
      </c>
      <c r="E8" s="6"/>
      <c r="F8" s="6"/>
      <c r="G8" s="10">
        <v>46261</v>
      </c>
      <c r="H8" s="16" t="s">
        <v>75</v>
      </c>
    </row>
    <row r="9" spans="1:8" ht="31.5" customHeight="1" x14ac:dyDescent="0.2">
      <c r="A9" s="5" t="s">
        <v>13</v>
      </c>
      <c r="B9" s="6" t="s">
        <v>17</v>
      </c>
      <c r="C9" s="6" t="s">
        <v>18</v>
      </c>
      <c r="D9" s="7">
        <v>0.98</v>
      </c>
      <c r="E9" s="11" t="s">
        <v>66</v>
      </c>
      <c r="F9" s="6"/>
      <c r="G9" s="8">
        <v>46261</v>
      </c>
      <c r="H9" s="16" t="s">
        <v>75</v>
      </c>
    </row>
    <row r="10" spans="1:8" ht="31.5" customHeight="1" x14ac:dyDescent="0.2">
      <c r="A10" s="5" t="s">
        <v>13</v>
      </c>
      <c r="B10" s="6" t="s">
        <v>19</v>
      </c>
      <c r="C10" s="6" t="s">
        <v>20</v>
      </c>
      <c r="D10" s="7">
        <v>0.98</v>
      </c>
      <c r="E10" s="11" t="s">
        <v>66</v>
      </c>
      <c r="F10" s="6"/>
      <c r="G10" s="8">
        <v>46261</v>
      </c>
      <c r="H10" s="16" t="s">
        <v>75</v>
      </c>
    </row>
    <row r="11" spans="1:8" ht="31.5" customHeight="1" x14ac:dyDescent="0.2">
      <c r="A11" s="5" t="s">
        <v>13</v>
      </c>
      <c r="B11" s="6" t="s">
        <v>21</v>
      </c>
      <c r="C11" s="6" t="s">
        <v>22</v>
      </c>
      <c r="D11" s="7">
        <v>0.8</v>
      </c>
      <c r="E11" s="6"/>
      <c r="F11" s="6"/>
      <c r="G11" s="12">
        <v>46261</v>
      </c>
      <c r="H11" s="16" t="s">
        <v>75</v>
      </c>
    </row>
    <row r="12" spans="1:8" ht="30" customHeight="1" x14ac:dyDescent="0.2">
      <c r="A12" s="5" t="s">
        <v>13</v>
      </c>
      <c r="B12" s="9" t="s">
        <v>23</v>
      </c>
      <c r="C12" s="6"/>
      <c r="D12" s="7">
        <v>1</v>
      </c>
      <c r="E12" s="6"/>
      <c r="F12" s="6"/>
      <c r="G12" s="10">
        <v>46261</v>
      </c>
      <c r="H12" s="16" t="s">
        <v>75</v>
      </c>
    </row>
    <row r="13" spans="1:8" ht="30" customHeight="1" x14ac:dyDescent="0.2">
      <c r="A13" s="5" t="s">
        <v>13</v>
      </c>
      <c r="B13" s="9" t="s">
        <v>24</v>
      </c>
      <c r="C13" s="6"/>
      <c r="D13" s="7">
        <v>1</v>
      </c>
      <c r="E13" s="6"/>
      <c r="F13" s="6"/>
      <c r="G13" s="10">
        <v>46261</v>
      </c>
      <c r="H13" s="16" t="s">
        <v>75</v>
      </c>
    </row>
    <row r="14" spans="1:8" ht="36" x14ac:dyDescent="0.2">
      <c r="A14" s="5" t="s">
        <v>13</v>
      </c>
      <c r="B14" s="11" t="s">
        <v>67</v>
      </c>
      <c r="C14" s="6" t="s">
        <v>25</v>
      </c>
      <c r="D14" s="7">
        <v>0.5</v>
      </c>
      <c r="E14" s="6" t="s">
        <v>26</v>
      </c>
      <c r="F14" s="6" t="s">
        <v>68</v>
      </c>
      <c r="G14" s="8">
        <v>46261</v>
      </c>
      <c r="H14" s="16" t="s">
        <v>75</v>
      </c>
    </row>
    <row r="15" spans="1:8" ht="24.75" x14ac:dyDescent="0.2">
      <c r="A15" s="5" t="s">
        <v>13</v>
      </c>
      <c r="B15" s="11" t="s">
        <v>70</v>
      </c>
      <c r="C15" s="6" t="s">
        <v>63</v>
      </c>
      <c r="D15" s="7">
        <v>0</v>
      </c>
      <c r="E15" s="6" t="s">
        <v>64</v>
      </c>
      <c r="F15" s="6"/>
      <c r="G15" s="8">
        <v>46261</v>
      </c>
      <c r="H15" s="16" t="s">
        <v>75</v>
      </c>
    </row>
    <row r="16" spans="1:8" ht="31.5" customHeight="1">
      <c r="A16" s="5" t="s">
        <v>13</v>
      </c>
      <c r="B16" s="6" t="inlineStr">
        <is>
          <t>Lead Leaders Officer Nominations</t>
        </is>
      </c>
      <c r="C16" s="6" t="inlineStr">
        <is>
          <t>Final attendance confirmed</t>
        </is>
      </c>
      <c r="D16" s="7">
        <v>0</v>
      </c>
      <c r="E16" s="6" t="inlineStr">
        <is>
          <t>Chase remaining officer nominations and confirm final attendance</t>
        </is>
      </c>
      <c r="F16" s="6" t="inlineStr">
        <is>
          <t>Due tomorrow</t>
        </is>
      </c>
      <c r="G16" s="8">
        <v>46272</v>
      </c>
      <c r="H16" s="16" t="s">
        <v>75</v>
      </c>
    </row>
    <row r="17" spans="1:8" ht="31.5" customHeight="1">
      <c r="A17" s="5" t="s">
        <v>13</v>
      </c>
      <c r="B17" s="6" t="inlineStr">
        <is>
          <t>Engineer Survival: Lighthouse Approval</t>
        </is>
      </c>
      <c r="C17" s="6" t="inlineStr">
        <is>
          <t>Lighthouse approval received</t>
        </is>
      </c>
      <c r="D17" s="7">
        <v>0</v>
      </c>
      <c r="E17" s="6" t="inlineStr">
        <is>
          <t>Follow up Lighthouse approval</t>
        </is>
      </c>
      <c r="F17" s="6" t="inlineStr">
        <is>
          <t>ASAP</t>
        </is>
      </c>
      <c r="G17" s="8">
        <v>46272</v>
      </c>
      <c r="H17" s="16" t="s">
        <v>75</v>
      </c>
    </row>
    <row r="18" spans="1:8" ht="31.5" customHeight="1">
      <c r="A18" s="5" t="s">
        <v>13</v>
      </c>
      <c r="B18" s="6" t="inlineStr">
        <is>
          <t>Staff and Contractor Onboarding SOP</t>
        </is>
      </c>
      <c r="C18" s="6" t="inlineStr">
        <is>
          <t>Clear, repeatable onboarding SOP in place covering safety induction, supervision, role suitability, due diligence and documented completion</t>
        </is>
      </c>
      <c r="D18" s="7">
        <v>0</v>
      </c>
      <c r="E18" s="6" t="inlineStr">
        <is>
          <t>Review and tighten the onboarding and induction SOP</t>
        </is>
      </c>
      <c r="F18" s="6" t="inlineStr">
        <is>
          <t>ASAP. Lesson from the recent contractor engagement: fix the system, not just the personnel issue</t>
        </is>
      </c>
      <c r="G18" s="8">
        <v>46272</v>
      </c>
      <c r="H18" s="16" t="s">
        <v>75</v>
      </c>
    </row>
    <row r="19" spans="1:8" ht="31.5" customHeight="1">
      <c r="A19" s="5" t="s">
        <v>13</v>
      </c>
      <c r="B19" s="6" t="inlineStr">
        <is>
          <t>Contractor Engagement Close-out</t>
        </is>
      </c>
      <c r="C19" s="6" t="inlineStr">
        <is>
          <t>Engagement formally closed with no expectation of future work</t>
        </is>
      </c>
      <c r="D19" s="7">
        <v>0</v>
      </c>
      <c r="E19" s="6" t="inlineStr">
        <is>
          <t>Make the close-out call to Drew and record the outcome</t>
        </is>
      </c>
      <c r="F19" s="6" t="inlineStr">
        <is>
          <t>ASAP. Individual not to be re-engaged</t>
        </is>
      </c>
      <c r="G19" s="8">
        <v>46272</v>
      </c>
      <c r="H19" s="16" t="s">
        <v>75</v>
      </c>
    </row>
    <row r="20" spans="1:8" ht="31.5" customHeight="1">
      <c r="A20" s="5" t="s">
        <v>13</v>
      </c>
      <c r="B20" s="6" t="inlineStr">
        <is>
          <t>Nemesis and Lead Teams Alignment</t>
        </is>
      </c>
      <c r="C20" s="6" t="inlineStr">
        <is>
          <t>Nemesis purpose clarified with OCS and Army leadership, or redesigned to deliver the intended Lead Teams outcomes</t>
        </is>
      </c>
      <c r="D20" s="7">
        <v>0</v>
      </c>
      <c r="E20" s="6" t="inlineStr">
        <is>
          <t>Engage Army/OCS leadership on intended outcomes, perform/recovery phases, coaching and positioning</t>
        </is>
      </c>
      <c r="F20" s="6" t="inlineStr">
        <is>
          <t>Upcoming. Missing elements: structured cognitive preparation, coaching/reflection and recovery phases</t>
        </is>
      </c>
      <c r="G20" s="8">
        <v>46272</v>
      </c>
      <c r="H20" s="16" t="s">
        <v>75</v>
      </c>
    </row>
    <row r="21" spans="1:8" ht="31.5" customHeight="1">
      <c r="A21" s="5" t="s">
        <v>13</v>
      </c>
      <c r="B21" s="6" t="inlineStr">
        <is>
          <t>H&amp;S Audit Actions</t>
        </is>
      </c>
      <c r="C21" s="6" t="inlineStr">
        <is>
          <t>All outstanding audit actions closed</t>
        </is>
      </c>
      <c r="D21" s="7">
        <v>0</v>
      </c>
      <c r="E21" s="6" t="inlineStr">
        <is>
          <t>Track outstanding actions, including kayak audit follow-up</t>
        </is>
      </c>
      <c r="F21" s="6" t="inlineStr">
        <is>
          <t>Ongoing</t>
        </is>
      </c>
      <c r="G21" s="8">
        <v>46272</v>
      </c>
      <c r="H21" s="16" t="s">
        <v>75</v>
      </c>
    </row>
    <row r="22" spans="1:8" ht="38.25" customHeight="1" x14ac:dyDescent="0.2">
      <c r="A22" s="5" t="s">
        <v>27</v>
      </c>
      <c r="B22" s="6" t="s">
        <v>14</v>
      </c>
      <c r="C22" s="6" t="s">
        <v>65</v>
      </c>
      <c r="D22" s="7">
        <v>0.1</v>
      </c>
      <c r="E22" s="6" t="s">
        <v>15</v>
      </c>
      <c r="F22" s="6"/>
      <c r="G22" s="8">
        <v>46261</v>
      </c>
      <c r="H22" s="16" t="s">
        <v>75</v>
      </c>
    </row>
    <row r="23" spans="1:8" ht="31.5" customHeight="1" x14ac:dyDescent="0.2">
      <c r="A23" s="5" t="s">
        <v>27</v>
      </c>
      <c r="B23" s="6" t="s">
        <v>28</v>
      </c>
      <c r="C23" s="6" t="s">
        <v>29</v>
      </c>
      <c r="D23" s="7">
        <v>0.2</v>
      </c>
      <c r="E23" s="11" t="s">
        <v>69</v>
      </c>
      <c r="F23" s="6" t="s">
        <v>30</v>
      </c>
      <c r="G23" s="12">
        <v>46261</v>
      </c>
      <c r="H23" s="16" t="s">
        <v>75</v>
      </c>
    </row>
    <row r="24" spans="1:8" ht="31.5" customHeight="1" x14ac:dyDescent="0.2">
      <c r="A24" s="5" t="s">
        <v>27</v>
      </c>
      <c r="B24" s="6" t="s">
        <v>31</v>
      </c>
      <c r="C24" s="6" t="s">
        <v>32</v>
      </c>
      <c r="D24" s="7">
        <v>0.7</v>
      </c>
      <c r="E24" s="6" t="s">
        <v>33</v>
      </c>
      <c r="F24" s="6" t="s">
        <v>34</v>
      </c>
      <c r="G24" s="8">
        <v>46261</v>
      </c>
      <c r="H24" s="16" t="s">
        <v>75</v>
      </c>
    </row>
    <row r="25" spans="1:8" ht="31.5" customHeight="1" x14ac:dyDescent="0.2">
      <c r="A25" s="5" t="s">
        <v>27</v>
      </c>
      <c r="B25" s="9" t="s">
        <v>35</v>
      </c>
      <c r="C25" s="9" t="s">
        <v>36</v>
      </c>
      <c r="D25" s="7">
        <v>1</v>
      </c>
      <c r="E25" s="6"/>
      <c r="F25" s="6"/>
      <c r="G25" s="10">
        <v>46261</v>
      </c>
      <c r="H25" s="16" t="s">
        <v>75</v>
      </c>
    </row>
    <row r="26" spans="1:8" ht="31.5" customHeight="1" x14ac:dyDescent="0.2">
      <c r="A26" s="5" t="s">
        <v>27</v>
      </c>
      <c r="B26" s="9" t="s">
        <v>37</v>
      </c>
      <c r="C26" s="9" t="s">
        <v>38</v>
      </c>
      <c r="D26" s="7">
        <v>1</v>
      </c>
      <c r="E26" s="6"/>
      <c r="F26" s="6"/>
      <c r="G26" s="10">
        <v>46261</v>
      </c>
      <c r="H26" s="16" t="s">
        <v>75</v>
      </c>
    </row>
    <row r="27" spans="1:8" ht="31.5" customHeight="1" x14ac:dyDescent="0.2">
      <c r="A27" s="5" t="s">
        <v>27</v>
      </c>
      <c r="B27" s="6" t="s">
        <v>39</v>
      </c>
      <c r="C27" s="6" t="s">
        <v>40</v>
      </c>
      <c r="D27" s="7">
        <v>0.1</v>
      </c>
      <c r="E27" s="6" t="s">
        <v>71</v>
      </c>
      <c r="F27" s="6" t="s">
        <v>72</v>
      </c>
      <c r="G27" s="8">
        <v>46272</v>
      </c>
      <c r="H27" s="16" t="s">
        <v>75</v>
      </c>
    </row>
    <row r="28" spans="1:8" ht="24.75" x14ac:dyDescent="0.2">
      <c r="A28" s="5" t="s">
        <v>27</v>
      </c>
      <c r="B28" s="6" t="s">
        <v>41</v>
      </c>
      <c r="C28" s="6" t="s">
        <v>42</v>
      </c>
      <c r="D28" s="7">
        <v>0.4</v>
      </c>
      <c r="E28" s="6" t="s">
        <v>43</v>
      </c>
      <c r="F28" s="6"/>
      <c r="G28" s="8">
        <v>46261</v>
      </c>
      <c r="H28" s="16" t="s">
        <v>75</v>
      </c>
    </row>
    <row r="29" spans="1:8" ht="24.75" x14ac:dyDescent="0.2">
      <c r="A29" s="5" t="s">
        <v>27</v>
      </c>
      <c r="B29" s="6" t="s">
        <v>44</v>
      </c>
      <c r="C29" s="6" t="s">
        <v>45</v>
      </c>
      <c r="D29" s="7">
        <v>0.05</v>
      </c>
      <c r="E29" s="6" t="s">
        <v>46</v>
      </c>
      <c r="F29" s="6"/>
      <c r="G29" s="8">
        <v>46261</v>
      </c>
      <c r="H29" s="16" t="s">
        <v>75</v>
      </c>
    </row>
    <row r="30" spans="1:8" ht="31.5" customHeight="1">
      <c r="A30" s="5" t="s">
        <v>27</v>
      </c>
      <c r="B30" s="6" t="inlineStr">
        <is>
          <t>Leadership Journal on Current Courses</t>
        </is>
      </c>
      <c r="C30" s="6" t="inlineStr">
        <is>
          <t>Journal briefed and in use on current and upcoming courses</t>
        </is>
      </c>
      <c r="D30" s="7">
        <v>0</v>
      </c>
      <c r="E30" s="6" t="inlineStr">
        <is>
          <t>Coordinate with Jim and Dave Bertram on journal use and briefing</t>
        </is>
      </c>
      <c r="F30" s="6" t="inlineStr">
        <is>
          <t>Current courses</t>
        </is>
      </c>
      <c r="G30" s="8">
        <v>46272</v>
      </c>
      <c r="H30" s="16" t="s">
        <v>75</v>
      </c>
    </row>
    <row r="31" spans="1:8" ht="31.5" customHeight="1">
      <c r="A31" s="5" t="s">
        <v>27</v>
      </c>
      <c r="B31" s="6" t="inlineStr">
        <is>
          <t>ATG Submission Presentation</t>
        </is>
      </c>
      <c r="C31" s="6" t="inlineStr">
        <is>
          <t>Presentation prepared and reviewed by Dave</t>
        </is>
      </c>
      <c r="D31" s="7">
        <v>0</v>
      </c>
      <c r="E31" s="6" t="inlineStr">
        <is>
          <t>Prepare the presentation and have Dave review it</t>
        </is>
      </c>
      <c r="F31" s="6" t="inlineStr">
        <is>
          <t>Wed to Thu</t>
        </is>
      </c>
      <c r="G31" s="8">
        <v>46272</v>
      </c>
      <c r="H31" s="16" t="s">
        <v>75</v>
      </c>
    </row>
    <row r="32" spans="1:8" ht="31.5" customHeight="1">
      <c r="A32" s="5" t="s">
        <v>27</v>
      </c>
      <c r="B32" s="6" t="inlineStr">
        <is>
          <t>Linton Team-Building Activity (16 to 17 Nov)</t>
        </is>
      </c>
      <c r="C32" s="6" t="inlineStr">
        <is>
          <t>Leadership-development programme developed with instructors and session responsibilities allocated</t>
        </is>
      </c>
      <c r="D32" s="7">
        <v>0</v>
      </c>
      <c r="E32" s="6" t="inlineStr">
        <is>
          <t>Develop the programme and allocate instructors and sessions</t>
        </is>
      </c>
      <c r="F32" s="6" t="inlineStr">
        <is>
          <t>Before Nov</t>
        </is>
      </c>
      <c r="G32" s="8">
        <v>46272</v>
      </c>
      <c r="H32" s="16" t="s">
        <v>75</v>
      </c>
    </row>
    <row r="33" spans="1:8" ht="31.5" customHeight="1">
      <c r="A33" s="5" t="s">
        <v>27</v>
      </c>
      <c r="B33" s="6" t="inlineStr">
        <is>
          <t>End-of-Year Farewell Event</t>
        </is>
      </c>
      <c r="C33" s="6" t="inlineStr">
        <is>
          <t>Event organised</t>
        </is>
      </c>
      <c r="D33" s="7">
        <v>0</v>
      </c>
      <c r="E33" s="6" t="inlineStr">
        <is>
          <t>Investigate the week of 23 Nov as the preferred option and confirm</t>
        </is>
      </c>
      <c r="F33" s="6" t="inlineStr">
        <is>
          <t>Confirm soon</t>
        </is>
      </c>
      <c r="G33" s="8">
        <v>46272</v>
      </c>
      <c r="H33" s="16" t="s">
        <v>75</v>
      </c>
    </row>
    <row r="34" spans="1:8" ht="31.5" customHeight="1">
      <c r="A34" s="5" t="s">
        <v>27</v>
      </c>
      <c r="B34" s="6" t="inlineStr">
        <is>
          <t>Admin Support to Jim</t>
        </is>
      </c>
      <c r="C34" s="6" t="inlineStr">
        <is>
          <t>Safety assurance, contractor administration and PO tracking supported and on track</t>
        </is>
      </c>
      <c r="D34" s="7">
        <v>0</v>
      </c>
      <c r="E34" s="6" t="inlineStr">
        <is>
          <t>Provide targeted admin support and prioritisation around Jim</t>
        </is>
      </c>
      <c r="F34" s="6" t="inlineStr">
        <is>
          <t>Ongoing. Jim's field strengths recognised; keep critical admin from drifting</t>
        </is>
      </c>
      <c r="G34" s="8">
        <v>46272</v>
      </c>
      <c r="H34" s="16" t="s">
        <v>75</v>
      </c>
    </row>
    <row r="35" spans="1:8" ht="31.5" customHeight="1" x14ac:dyDescent="0.2">
      <c r="A35" s="5" t="s">
        <v>47</v>
      </c>
      <c r="B35" s="6" t="s">
        <v>48</v>
      </c>
      <c r="C35" s="6" t="s">
        <v>49</v>
      </c>
      <c r="D35" s="7">
        <v>0</v>
      </c>
      <c r="E35" s="6"/>
      <c r="F35" s="6"/>
      <c r="G35" s="8">
        <v>46261</v>
      </c>
      <c r="H35" s="16" t="s">
        <v>75</v>
      </c>
    </row>
    <row r="36" spans="1:8" ht="30" customHeight="1" x14ac:dyDescent="0.2">
      <c r="A36" s="5" t="s">
        <v>47</v>
      </c>
      <c r="B36" s="9" t="s">
        <v>50</v>
      </c>
      <c r="C36" s="6"/>
      <c r="D36" s="7">
        <v>1</v>
      </c>
      <c r="E36" s="6"/>
      <c r="F36" s="6"/>
      <c r="G36" s="10">
        <v>46261</v>
      </c>
      <c r="H36" s="16" t="s">
        <v>75</v>
      </c>
    </row>
    <row r="37" spans="1:8" ht="31.5" customHeight="1" x14ac:dyDescent="0.2">
      <c r="A37" s="5" t="s">
        <v>47</v>
      </c>
      <c r="B37" s="9" t="s">
        <v>51</v>
      </c>
      <c r="C37" s="9" t="s">
        <v>52</v>
      </c>
      <c r="D37" s="7">
        <v>1</v>
      </c>
      <c r="E37" s="6"/>
      <c r="F37" s="6"/>
      <c r="G37" s="10">
        <v>46261</v>
      </c>
      <c r="H37" s="16" t="s">
        <v>75</v>
      </c>
    </row>
    <row r="38" spans="1:8" ht="31.5" customHeight="1" x14ac:dyDescent="0.2">
      <c r="A38" s="5" t="s">
        <v>47</v>
      </c>
      <c r="B38" s="9" t="s">
        <v>53</v>
      </c>
      <c r="C38" s="9" t="s">
        <v>54</v>
      </c>
      <c r="D38" s="7">
        <v>1</v>
      </c>
      <c r="E38" s="6"/>
      <c r="F38" s="6"/>
      <c r="G38" s="10">
        <v>46261</v>
      </c>
      <c r="H38" s="16" t="s">
        <v>75</v>
      </c>
    </row>
    <row r="39" spans="1:8" ht="31.5" customHeight="1" x14ac:dyDescent="0.2">
      <c r="A39" s="5" t="s">
        <v>47</v>
      </c>
      <c r="B39" s="9" t="s">
        <v>55</v>
      </c>
      <c r="C39" s="9" t="s">
        <v>56</v>
      </c>
      <c r="D39" s="7">
        <v>1</v>
      </c>
      <c r="E39" s="6"/>
      <c r="F39" s="6"/>
      <c r="G39" s="10">
        <v>46261</v>
      </c>
      <c r="H39" s="16" t="s">
        <v>75</v>
      </c>
    </row>
    <row r="40" spans="1:8" ht="30" customHeight="1" x14ac:dyDescent="0.2">
      <c r="A40" s="5" t="s">
        <v>47</v>
      </c>
      <c r="B40" s="9" t="s">
        <v>57</v>
      </c>
      <c r="C40" s="9" t="s">
        <v>58</v>
      </c>
      <c r="D40" s="7">
        <v>1</v>
      </c>
      <c r="E40" s="6"/>
      <c r="F40" s="6"/>
      <c r="G40" s="10">
        <v>46261</v>
      </c>
      <c r="H40" s="16" t="s">
        <v>75</v>
      </c>
    </row>
    <row r="41" spans="1:8" ht="45" customHeight="1" x14ac:dyDescent="0.2">
      <c r="A41" s="5" t="s">
        <v>47</v>
      </c>
      <c r="B41" s="9" t="s">
        <v>59</v>
      </c>
      <c r="C41" s="9" t="s">
        <v>60</v>
      </c>
      <c r="D41" s="7">
        <v>1</v>
      </c>
      <c r="E41" s="6"/>
      <c r="F41" s="6"/>
      <c r="G41" s="10">
        <v>46261</v>
      </c>
      <c r="H41" s="16" t="s">
        <v>75</v>
      </c>
    </row>
    <row r="42" spans="1:8" ht="31.5" customHeight="1" x14ac:dyDescent="0.2">
      <c r="A42" s="5" t="s">
        <v>47</v>
      </c>
      <c r="B42" s="9" t="s">
        <v>61</v>
      </c>
      <c r="C42" s="9" t="s">
        <v>62</v>
      </c>
      <c r="D42" s="7">
        <v>1</v>
      </c>
      <c r="E42" s="6"/>
      <c r="F42" s="6"/>
      <c r="G42" s="10">
        <v>46261</v>
      </c>
      <c r="H42" s="16" t="s">
        <v>75</v>
      </c>
    </row>
  </sheetData>
  <mergeCells count="5">
    <mergeCell ref="A2:H2"/>
    <mergeCell ref="A4:B4"/>
    <mergeCell ref="F4:G4"/>
    <mergeCell ref="A5:B5"/>
    <mergeCell ref="F5:G5"/>
  </mergeCells>
  <conditionalFormatting sqref="A8:A80">
    <cfRule type="expression" dxfId="4" priority="3">
      <formula>$A8="Critical"</formula>
    </cfRule>
    <cfRule type="expression" dxfId="3" priority="4">
      <formula>$A8="Important"</formula>
    </cfRule>
    <cfRule type="expression" dxfId="2" priority="5">
      <formula>$A8="Routine"</formula>
    </cfRule>
  </conditionalFormatting>
  <conditionalFormatting sqref="D8:D80">
    <cfRule type="dataBar" priority="7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F5">
    <cfRule type="expression" dxfId="1" priority="2">
      <formula>$F$5&gt;0</formula>
    </cfRule>
  </conditionalFormatting>
  <conditionalFormatting sqref="G8:G80">
    <cfRule type="expression" dxfId="0" priority="6">
      <formula>AND($G8&lt;&gt;"",$G8&lt;TODAY()-14)</formula>
    </cfRule>
  </conditionalFormatting>
  <dataValidations count="3">
    <dataValidation type="list" allowBlank="1" showErrorMessage="1" errorTitle="Priority" error="Choose Critical, Important or Routine." sqref="A8:A80" xr:uid="{00000000-0002-0000-0000-000000000000}">
      <formula1>"Critical,Important,Routine"</formula1>
      <formula2>0</formula2>
    </dataValidation>
    <dataValidation type="decimal" allowBlank="1" showErrorMessage="1" errorTitle="Progress" error="Enter progress as a percentage between 0% and 100%." sqref="D8:D80" xr:uid="{00000000-0002-0000-0000-000001000000}">
      <formula1>0</formula1>
      <formula2>1</formula2>
    </dataValidation>
    <dataValidation type="none" allowBlank="1" showInputMessage="1" promptTitle="Last Updated" prompt="Double-click to stamp today's date." sqref="G8:G80"/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D8:D80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I7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ColWidth="8.609375" defaultRowHeight="15"/>
  <cols>
    <col min="1" max="1" width="14.390625" customWidth="1"/>
    <col min="2" max="2" width="41.96875" customWidth="1"/>
    <col min="3" max="3" width="39.81640625" customWidth="1"/>
    <col min="4" max="4" width="32.8203125" customWidth="1"/>
    <col min="5" max="5" width="39.14453125" customWidth="1"/>
    <col min="6" max="6" width="34.03125" customWidth="1"/>
    <col min="7" max="7" width="13.98828125" customWidth="1"/>
    <col min="8" max="8" width="11.5" customWidth="1"/>
    <col min="8" max="8" width="11.5" customWidth="1"/>
    <col min="9" max="9" width="13.98828125" customWidth="1"/>
  </cols>
  <sheetData>
    <row r="1" spans="1:9" ht="6" customHeight="1"/>
    <row r="2" spans="1:9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</row>
    <row r="3" spans="1:9" ht="6" customHeight="1"/>
    <row r="4" spans="1:9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</row>
    <row r="5" spans="1:9" ht="6" customHeight="1"/>
    <row r="6" spans="1:9" ht="24" customHeight="1">
      <c r="A6" s="3" t="s">
        <v>6</v>
      </c>
      <c r="B6" s="3" t="s">
        <v>7</v>
      </c>
      <c r="C6" s="3" t="s">
        <v>8</v>
      </c>
      <c r="D6" s="4" t="s">
        <v>9</v>
      </c>
      <c r="E6" s="3" t="s">
        <v>10</v>
      </c>
      <c r="F6" s="3" t="s">
        <v>11</v>
      </c>
      <c r="G6" s="4" t="s">
        <v>12</v>
      </c>
      <c r="H6" s="4" t="s">
        <v>73</v>
      </c>
      <c r="I6" s="4" t="s">
        <v>74</v>
      </c>
    </row>
    <row r="7" spans="1:9" ht="30" customHeight="1">
      <c r="A7" s="5"/>
      <c r="B7" s="6"/>
      <c r="C7" s="6"/>
      <c r="D7" s="7"/>
      <c r="E7" s="6"/>
      <c r="F7" s="6"/>
      <c r="G7" s="8"/>
      <c r="H7" s="16"/>
      <c r="I7" s="8"/>
    </row>
  </sheetData>
  <mergeCells count="2">
    <mergeCell ref="A2:I2"/>
    <mergeCell ref="A4:I4"/>
  </mergeCells>
  <conditionalFormatting sqref="A7:A200">
    <cfRule type="expression" dxfId="4" priority="1">
      <formula>$A7="Critical"</formula>
    </cfRule>
    <cfRule type="expression" dxfId="3" priority="2">
      <formula>$A7="Important"</formula>
    </cfRule>
    <cfRule type="expression" dxfId="2" priority="3">
      <formula>$A7="Routine"</formula>
    </cfRule>
  </conditionalFormatting>
  <conditionalFormatting sqref="D7:D200">
    <cfRule type="dataBar" priority="4">
      <dataBar>
        <cfvo type="num" val="0"/>
        <cfvo type="num" val="1"/>
        <color rgb="FF9DBE85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9DBE85"/>
            </x14:dataBar>
          </x14:cfRule>
          <xm:sqref>D7:D200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