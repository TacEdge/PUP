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es of Effort Tracker" sheetId="1" state="visible" r:id="rId3"/>
  </sheets>
  <definedNames>
    <definedName function="false" hidden="false" localSheetId="0" name="_xlnm.Print_Area" vbProcedure="false">'Lines of Effort Tracker'!$A$1:$G$41</definedName>
    <definedName function="false" hidden="false" localSheetId="0" name="_xlnm.Print_Titles" vbProcedure="false">'Lines of Effort Tracker'!$7:$7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<sst xmlns="http://schemas.openxmlformats.org/spreadsheetml/2006/main" count="94" uniqueCount="74">
  <si>
    <t xml:space="preserve">NZALC HQ - LINES OF EFFORT TRACKER</t>
  </si>
  <si>
    <t xml:space="preserve">ACTIVE LINES OF EFFORT</t>
  </si>
  <si>
    <t xml:space="preserve">CRITICAL</t>
  </si>
  <si>
    <t xml:space="preserve">IMPORTANT</t>
  </si>
  <si>
    <t xml:space="preserve">ROUTINE</t>
  </si>
  <si>
    <t xml:space="preserve">STALE (14+ DAYS)</t>
  </si>
  <si>
    <t xml:space="preserve">Priority</t>
  </si>
  <si>
    <t xml:space="preserve">Line of Effort</t>
  </si>
  <si>
    <t xml:space="preserve">End State / Output</t>
  </si>
  <si>
    <t xml:space="preserve">Progress %</t>
  </si>
  <si>
    <t xml:space="preserve">Next Action</t>
  </si>
  <si>
    <t xml:space="preserve">Notes</t>
  </si>
  <si>
    <t xml:space="preserve">Last Updated</t>
  </si>
  <si>
    <t xml:space="preserve">Critical</t>
  </si>
  <si>
    <t xml:space="preserve">Combat Mindset Submission</t>
  </si>
  <si>
    <t xml:space="preserve">Final review</t>
  </si>
  <si>
    <t xml:space="preserve">Submitted</t>
  </si>
  <si>
    <t xml:space="preserve">Pacific Response Group (12 - 13 Aug 26)</t>
  </si>
  <si>
    <t xml:space="preserve">Activity delivered and post-activity actions closed</t>
  </si>
  <si>
    <t xml:space="preserve">Now in Trentham</t>
  </si>
  <si>
    <t xml:space="preserve">Lead Systems Adventure Race (7 - 14 Aug 26)</t>
  </si>
  <si>
    <t xml:space="preserve">Race delivered and post-course actions closed</t>
  </si>
  <si>
    <t xml:space="preserve">Under action</t>
  </si>
  <si>
    <t xml:space="preserve">Lead Systems, Alpine Tour (24 - 30 Aug 26)</t>
  </si>
  <si>
    <t xml:space="preserve">Tour delivered and post-course actions closed</t>
  </si>
  <si>
    <t xml:space="preserve">Deployment</t>
  </si>
  <si>
    <t xml:space="preserve">Positioned to deploy</t>
  </si>
  <si>
    <t xml:space="preserve">NZDF COTY Submission</t>
  </si>
  <si>
    <t xml:space="preserve">Request for Secondary Employment</t>
  </si>
  <si>
    <t xml:space="preserve">NZALC ORBAT</t>
  </si>
  <si>
    <t xml:space="preserve">ORBAT confirmed, with contingency options for 2027 established</t>
  </si>
  <si>
    <t xml:space="preserve">Establish contingency options for 2027</t>
  </si>
  <si>
    <t xml:space="preserve">Important</t>
  </si>
  <si>
    <t xml:space="preserve">2 CDO COMD ELDA</t>
  </si>
  <si>
    <t xml:space="preserve">ELDA delivered to 2 CDO and closed out</t>
  </si>
  <si>
    <t xml:space="preserve">Scoping meeting with 2 CDO</t>
  </si>
  <si>
    <t xml:space="preserve">16-23 Mar 27 (potential dates)
1-pager submitted</t>
  </si>
  <si>
    <t xml:space="preserve">2/1 Leadership Integration Series</t>
  </si>
  <si>
    <t xml:space="preserve">All phases of the series delivered</t>
  </si>
  <si>
    <t xml:space="preserve">Ph 3 Nov</t>
  </si>
  <si>
    <t xml:space="preserve">Ph 2 complete</t>
  </si>
  <si>
    <t xml:space="preserve">Lead Leaders link to substantive CAPT</t>
  </si>
  <si>
    <t xml:space="preserve">Resubmitted</t>
  </si>
  <si>
    <t xml:space="preserve">FY Summary Production Process</t>
  </si>
  <si>
    <t xml:space="preserve">Production process documented as a written SOP</t>
  </si>
  <si>
    <t xml:space="preserve">ATG Professional Development</t>
  </si>
  <si>
    <t xml:space="preserve">Attendance completed</t>
  </si>
  <si>
    <t xml:space="preserve">MAJ Coom, WO2 Matthews to attend</t>
  </si>
  <si>
    <t xml:space="preserve">01-02 Sep, Waiouru</t>
  </si>
  <si>
    <t xml:space="preserve">2ER COMD ELDA</t>
  </si>
  <si>
    <t xml:space="preserve">ELDA delivered to 2ER and closed out</t>
  </si>
  <si>
    <t xml:space="preserve">Confirm capacity</t>
  </si>
  <si>
    <t xml:space="preserve">Early/mid Nov (potential dates)</t>
  </si>
  <si>
    <t xml:space="preserve">Routine</t>
  </si>
  <si>
    <t xml:space="preserve">NZALC Strategic Planning Tool</t>
  </si>
  <si>
    <t xml:space="preserve">Planning tool developed and in use</t>
  </si>
  <si>
    <t xml:space="preserve">Clothing Cards</t>
  </si>
  <si>
    <t xml:space="preserve">Anaphalaxis Submission</t>
  </si>
  <si>
    <t xml:space="preserve">Command decision received and actioned</t>
  </si>
  <si>
    <t xml:space="preserve">Include OLCC for endorsement?</t>
  </si>
  <si>
    <t xml:space="preserve">Submitted; awaiting decision</t>
  </si>
  <si>
    <t xml:space="preserve">Budget Builder</t>
  </si>
  <si>
    <t xml:space="preserve">FY26/27 budget model confirmed and issued</t>
  </si>
  <si>
    <t xml:space="preserve">NZALC Operating Manual</t>
  </si>
  <si>
    <t xml:space="preserve">Manual approved, published and in use</t>
  </si>
  <si>
    <t xml:space="preserve">Course Nomination &amp; Preparation SOP</t>
  </si>
  <si>
    <t xml:space="preserve">SOP approved and implemented</t>
  </si>
  <si>
    <t xml:space="preserve">SOP</t>
  </si>
  <si>
    <t xml:space="preserve">ELDA Comd Review</t>
  </si>
  <si>
    <t xml:space="preserve">Review completed and reported</t>
  </si>
  <si>
    <t xml:space="preserve">No update at this stage</t>
  </si>
  <si>
    <t xml:space="preserve">Not yet started.</t>
  </si>
  <si>
    <t xml:space="preserve">Support to HUMINT Platoon FTX</t>
  </si>
  <si>
    <t xml:space="preserve">Support delivered to FTX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</si>
</sst>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 mmm\ 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8"/>
      <color rgb="FF222222"/>
      <name val="Arial"/>
      <family val="0"/>
      <charset val="1"/>
    </font>
    <font>
      <b val="true"/>
      <sz val="24"/>
      <color rgb="FF2222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22222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C98A00"/>
          <bgColor rgb="FF000000"/>
        </patternFill>
      </fill>
    </dxf>
    <dxf>
      <fill>
        <patternFill patternType="solid">
          <fgColor rgb="FF3A2B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ont>
        <name val="Arial"/>
        <charset val="1"/>
        <family val="0"/>
        <b val="1"/>
        <color rgb="FFC98A00"/>
        <sz val="24"/>
      </font>
    </dxf>
    <dxf>
      <font>
        <name val="Arial"/>
        <charset val="1"/>
        <family val="0"/>
        <b val="1"/>
        <color rgb="FFFFFFFF"/>
        <sz val="10"/>
      </font>
      <fill>
        <patternFill>
          <bgColor rgb="FFC0392B"/>
        </patternFill>
      </fill>
    </dxf>
    <dxf>
      <font>
        <name val="Arial"/>
        <charset val="1"/>
        <family val="0"/>
        <b val="1"/>
        <color rgb="FF3A2B00"/>
        <sz val="10"/>
      </font>
      <fill>
        <patternFill>
          <bgColor rgb="FFC98A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D32"/>
        </patternFill>
      </fill>
    </dxf>
    <dxf>
      <font>
        <name val="Arial"/>
        <charset val="1"/>
        <family val="0"/>
        <b val="1"/>
        <color rgb="FFC98A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8A00"/>
      <rgbColor rgb="FFFF6600"/>
      <rgbColor rgb="FF666699"/>
      <rgbColor rgb="FF969696"/>
      <rgbColor rgb="FF003366"/>
      <rgbColor rgb="FF2E7D32"/>
      <rgbColor rgb="FF003300"/>
      <rgbColor rgb="FF3A2B00"/>
      <rgbColor rgb="FFC0392B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LoE" displayName="tblLoE" ref="A7:G28" headerRowCount="1" totalsRowCount="0" totalsRowShown="0">
  <autoFilter ref="A7:G28"/>
  <tableColumns count="7">
    <tableColumn id="1" name="Priority"/>
    <tableColumn id="2" name="Line of Effort"/>
    <tableColumn id="3" name="End State / Output"/>
    <tableColumn id="4" name="Progress %"/>
    <tableColumn id="5" name="Next Action"/>
    <tableColumn id="6" name="Notes"/>
    <tableColumn id="7" name="Last Updat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.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14.9"/>
    <col collapsed="false" customWidth="true" hidden="false" outlineLevel="0" max="5" min="5" style="0" width="3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6" hidden="false" customHeight="true" outlineLevel="0" collapsed="false"/>
    <row r="2" customFormat="false" ht="31.5" hidden="false" customHeight="true" outlineLevel="0" collapsed="false">
      <c r="A2" s="1" t="s">
        <v>0</v>
      </c>
      <c r="B2" s="1"/>
      <c r="C2" s="1"/>
      <c r="D2" s="1"/>
      <c r="E2" s="1"/>
      <c r="F2" s="1"/>
      <c r="G2" s="1"/>
    </row>
    <row r="3" customFormat="false" ht="6" hidden="false" customHeight="true" outlineLevel="0" collapsed="false"/>
    <row r="4" customFormat="false" ht="15" hidden="false" customHeight="true" outlineLevel="0" collapsed="false">
      <c r="A4" s="2" t="s">
        <v>1</v>
      </c>
      <c r="B4" s="2"/>
      <c r="C4" s="3" t="s">
        <v>2</v>
      </c>
      <c r="D4" s="3" t="s">
        <v>3</v>
      </c>
      <c r="E4" s="3" t="s">
        <v>4</v>
      </c>
      <c r="F4" s="2" t="s">
        <v>5</v>
      </c>
      <c r="G4" s="2"/>
    </row>
    <row r="5" customFormat="false" ht="30" hidden="false" customHeight="true" outlineLevel="0" collapsed="false">
      <c r="A5" s="4" t="n">
        <f aca="false">COUNTA(B8:B41)</f>
        <v>21</v>
      </c>
      <c r="B5" s="4"/>
      <c r="C5" s="5" t="n">
        <f aca="false">COUNTIF(A8:A41,"Critical")</f>
        <v>7</v>
      </c>
      <c r="D5" s="5" t="n">
        <f aca="false">COUNTIF(A8:A41,"Important")</f>
        <v>6</v>
      </c>
      <c r="E5" s="5" t="n">
        <f aca="false">COUNTIF(A8:A41,"Routine")</f>
        <v>8</v>
      </c>
      <c r="F5" s="4" t="n">
        <f aca="true">COUNTIF(G8:G41,"&lt;"&amp;TODAY()-14)</f>
        <v>21</v>
      </c>
      <c r="G5" s="4"/>
    </row>
    <row r="6" customFormat="false" ht="6" hidden="false" customHeight="true" outlineLevel="0" collapsed="false"/>
    <row r="7" customFormat="false" ht="24" hidden="false" customHeight="true" outlineLevel="0" collapsed="false">
      <c r="A7" s="6" t="s">
        <v>6</v>
      </c>
      <c r="B7" s="6" t="s">
        <v>7</v>
      </c>
      <c r="C7" s="6" t="s">
        <v>8</v>
      </c>
      <c r="D7" s="7" t="s">
        <v>9</v>
      </c>
      <c r="E7" s="6" t="s">
        <v>10</v>
      </c>
      <c r="F7" s="6" t="s">
        <v>11</v>
      </c>
      <c r="G7" s="7" t="s">
        <v>12</v>
      </c>
    </row>
    <row r="8" customFormat="false" ht="30" hidden="false" customHeight="true" outlineLevel="0" collapsed="false">
      <c r="A8" s="8" t="s">
        <v>13</v>
      </c>
      <c r="B8" s="9" t="s">
        <v>14</v>
      </c>
      <c r="C8" s="9"/>
      <c r="D8" s="10" t="n">
        <v>1</v>
      </c>
      <c r="E8" s="9" t="s">
        <v>15</v>
      </c>
      <c r="F8" s="9" t="s">
        <v>16</v>
      </c>
      <c r="G8" s="11" t="n">
        <v>46244</v>
      </c>
    </row>
    <row r="9" customFormat="false" ht="30" hidden="false" customHeight="true" outlineLevel="0" collapsed="false">
      <c r="A9" s="8" t="s">
        <v>13</v>
      </c>
      <c r="B9" s="9" t="s">
        <v>17</v>
      </c>
      <c r="C9" s="9" t="s">
        <v>18</v>
      </c>
      <c r="D9" s="10" t="n">
        <v>0.6</v>
      </c>
      <c r="E9" s="9"/>
      <c r="F9" s="9" t="s">
        <v>19</v>
      </c>
      <c r="G9" s="11" t="n">
        <v>46244</v>
      </c>
    </row>
    <row r="10" customFormat="false" ht="30" hidden="false" customHeight="true" outlineLevel="0" collapsed="false">
      <c r="A10" s="8" t="s">
        <v>13</v>
      </c>
      <c r="B10" s="9" t="s">
        <v>20</v>
      </c>
      <c r="C10" s="9" t="s">
        <v>21</v>
      </c>
      <c r="D10" s="10" t="n">
        <v>0.7</v>
      </c>
      <c r="E10" s="9" t="s">
        <v>22</v>
      </c>
      <c r="F10" s="9"/>
      <c r="G10" s="11" t="n">
        <v>46244</v>
      </c>
    </row>
    <row r="11" customFormat="false" ht="30" hidden="false" customHeight="true" outlineLevel="0" collapsed="false">
      <c r="A11" s="8" t="s">
        <v>13</v>
      </c>
      <c r="B11" s="9" t="s">
        <v>23</v>
      </c>
      <c r="C11" s="9" t="s">
        <v>24</v>
      </c>
      <c r="D11" s="10" t="n">
        <v>0.5</v>
      </c>
      <c r="E11" s="9" t="s">
        <v>25</v>
      </c>
      <c r="F11" s="9" t="s">
        <v>26</v>
      </c>
      <c r="G11" s="11" t="n">
        <v>46244</v>
      </c>
    </row>
    <row r="12" customFormat="false" ht="30" hidden="false" customHeight="true" outlineLevel="0" collapsed="false">
      <c r="A12" s="8" t="s">
        <v>13</v>
      </c>
      <c r="B12" s="9" t="s">
        <v>27</v>
      </c>
      <c r="C12" s="9"/>
      <c r="D12" s="10" t="n">
        <v>1</v>
      </c>
      <c r="E12" s="9"/>
      <c r="F12" s="9"/>
      <c r="G12" s="11" t="n">
        <v>46204</v>
      </c>
    </row>
    <row r="13" customFormat="false" ht="30" hidden="false" customHeight="true" outlineLevel="0" collapsed="false">
      <c r="A13" s="8" t="s">
        <v>13</v>
      </c>
      <c r="B13" s="9" t="s">
        <v>28</v>
      </c>
      <c r="C13" s="9"/>
      <c r="D13" s="10" t="n">
        <v>1</v>
      </c>
      <c r="E13" s="9"/>
      <c r="F13" s="9"/>
      <c r="G13" s="11" t="n">
        <v>46211</v>
      </c>
    </row>
    <row r="14" customFormat="false" ht="30" hidden="false" customHeight="true" outlineLevel="0" collapsed="false">
      <c r="A14" s="8" t="s">
        <v>13</v>
      </c>
      <c r="B14" s="9" t="s">
        <v>29</v>
      </c>
      <c r="C14" s="9" t="s">
        <v>30</v>
      </c>
      <c r="D14" s="10" t="n">
        <v>0.5</v>
      </c>
      <c r="E14" s="9"/>
      <c r="F14" s="9" t="s">
        <v>31</v>
      </c>
      <c r="G14" s="11" t="n">
        <v>46244</v>
      </c>
    </row>
    <row r="15" customFormat="false" ht="30" hidden="false" customHeight="true" outlineLevel="0" collapsed="false">
      <c r="A15" s="8" t="s">
        <v>32</v>
      </c>
      <c r="B15" s="9" t="s">
        <v>33</v>
      </c>
      <c r="C15" s="9" t="s">
        <v>34</v>
      </c>
      <c r="D15" s="10" t="n">
        <v>0.2</v>
      </c>
      <c r="E15" s="9" t="s">
        <v>35</v>
      </c>
      <c r="F15" s="9" t="s">
        <v>36</v>
      </c>
      <c r="G15" s="11" t="n">
        <v>46244</v>
      </c>
    </row>
    <row r="16" customFormat="false" ht="30" hidden="false" customHeight="true" outlineLevel="0" collapsed="false">
      <c r="A16" s="8" t="s">
        <v>32</v>
      </c>
      <c r="B16" s="9" t="s">
        <v>37</v>
      </c>
      <c r="C16" s="9" t="s">
        <v>38</v>
      </c>
      <c r="D16" s="10" t="n">
        <v>0.7</v>
      </c>
      <c r="E16" s="9" t="s">
        <v>39</v>
      </c>
      <c r="F16" s="9" t="s">
        <v>40</v>
      </c>
      <c r="G16" s="11" t="n">
        <v>46244</v>
      </c>
    </row>
    <row r="17" customFormat="false" ht="30" hidden="false" customHeight="true" outlineLevel="0" collapsed="false">
      <c r="A17" s="8" t="s">
        <v>32</v>
      </c>
      <c r="B17" s="9" t="s">
        <v>41</v>
      </c>
      <c r="C17" s="9"/>
      <c r="D17" s="10" t="n">
        <v>1</v>
      </c>
      <c r="E17" s="9"/>
      <c r="F17" s="9" t="s">
        <v>42</v>
      </c>
      <c r="G17" s="11" t="n">
        <v>46244</v>
      </c>
    </row>
    <row r="18" customFormat="false" ht="30" hidden="false" customHeight="true" outlineLevel="0" collapsed="false">
      <c r="A18" s="8" t="s">
        <v>32</v>
      </c>
      <c r="B18" s="9" t="s">
        <v>43</v>
      </c>
      <c r="C18" s="9" t="s">
        <v>44</v>
      </c>
      <c r="D18" s="10" t="n">
        <v>1</v>
      </c>
      <c r="E18" s="9"/>
      <c r="F18" s="9"/>
      <c r="G18" s="11" t="n">
        <v>46230</v>
      </c>
    </row>
    <row r="19" customFormat="false" ht="30" hidden="false" customHeight="true" outlineLevel="0" collapsed="false">
      <c r="A19" s="8" t="s">
        <v>32</v>
      </c>
      <c r="B19" s="9" t="s">
        <v>45</v>
      </c>
      <c r="C19" s="9" t="s">
        <v>46</v>
      </c>
      <c r="D19" s="10" t="n">
        <v>0.4</v>
      </c>
      <c r="E19" s="9" t="s">
        <v>47</v>
      </c>
      <c r="F19" s="9" t="s">
        <v>48</v>
      </c>
      <c r="G19" s="11" t="n">
        <v>46244</v>
      </c>
    </row>
    <row r="20" customFormat="false" ht="30" hidden="false" customHeight="true" outlineLevel="0" collapsed="false">
      <c r="A20" s="8" t="s">
        <v>32</v>
      </c>
      <c r="B20" s="9" t="s">
        <v>49</v>
      </c>
      <c r="C20" s="9" t="s">
        <v>50</v>
      </c>
      <c r="D20" s="10" t="n">
        <v>0.1</v>
      </c>
      <c r="E20" s="9" t="s">
        <v>51</v>
      </c>
      <c r="F20" s="9" t="s">
        <v>52</v>
      </c>
      <c r="G20" s="11" t="n">
        <v>46240</v>
      </c>
    </row>
    <row r="21" customFormat="false" ht="30" hidden="false" customHeight="true" outlineLevel="0" collapsed="false">
      <c r="A21" s="8" t="s">
        <v>53</v>
      </c>
      <c r="B21" s="9" t="s">
        <v>54</v>
      </c>
      <c r="C21" s="9" t="s">
        <v>55</v>
      </c>
      <c r="D21" s="10" t="n">
        <v>0</v>
      </c>
      <c r="E21" s="9"/>
      <c r="F21" s="9"/>
      <c r="G21" s="11" t="n">
        <v>46244</v>
      </c>
    </row>
    <row r="22" customFormat="false" ht="30" hidden="false" customHeight="true" outlineLevel="0" collapsed="false">
      <c r="A22" s="8" t="s">
        <v>53</v>
      </c>
      <c r="B22" s="9" t="s">
        <v>56</v>
      </c>
      <c r="C22" s="9"/>
      <c r="D22" s="10" t="n">
        <v>1</v>
      </c>
      <c r="E22" s="9"/>
      <c r="F22" s="9"/>
      <c r="G22" s="11" t="n">
        <v>46244</v>
      </c>
    </row>
    <row r="23" customFormat="false" ht="30" hidden="false" customHeight="true" outlineLevel="0" collapsed="false">
      <c r="A23" s="8" t="s">
        <v>53</v>
      </c>
      <c r="B23" s="9" t="s">
        <v>57</v>
      </c>
      <c r="C23" s="9" t="s">
        <v>58</v>
      </c>
      <c r="D23" s="10" t="n">
        <v>1</v>
      </c>
      <c r="E23" s="9" t="s">
        <v>59</v>
      </c>
      <c r="F23" s="9" t="s">
        <v>60</v>
      </c>
      <c r="G23" s="11" t="n">
        <v>46244</v>
      </c>
    </row>
    <row r="24" customFormat="false" ht="30" hidden="false" customHeight="true" outlineLevel="0" collapsed="false">
      <c r="A24" s="8" t="s">
        <v>53</v>
      </c>
      <c r="B24" s="9" t="s">
        <v>61</v>
      </c>
      <c r="C24" s="9" t="s">
        <v>62</v>
      </c>
      <c r="D24" s="10" t="n">
        <v>1</v>
      </c>
      <c r="E24" s="9"/>
      <c r="F24" s="9" t="s">
        <v>61</v>
      </c>
      <c r="G24" s="11" t="n">
        <v>46205</v>
      </c>
    </row>
    <row r="25" customFormat="false" ht="30" hidden="false" customHeight="true" outlineLevel="0" collapsed="false">
      <c r="A25" s="8" t="s">
        <v>53</v>
      </c>
      <c r="B25" s="9" t="s">
        <v>63</v>
      </c>
      <c r="C25" s="9" t="s">
        <v>64</v>
      </c>
      <c r="D25" s="10" t="n">
        <v>1</v>
      </c>
      <c r="E25" s="9"/>
      <c r="F25" s="9"/>
      <c r="G25" s="11" t="n">
        <v>46230</v>
      </c>
    </row>
    <row r="26" customFormat="false" ht="30" hidden="false" customHeight="true" outlineLevel="0" collapsed="false">
      <c r="A26" s="8" t="s">
        <v>53</v>
      </c>
      <c r="B26" s="9" t="s">
        <v>65</v>
      </c>
      <c r="C26" s="9" t="s">
        <v>66</v>
      </c>
      <c r="D26" s="10" t="n">
        <v>1</v>
      </c>
      <c r="E26" s="9"/>
      <c r="F26" s="9" t="s">
        <v>67</v>
      </c>
      <c r="G26" s="11" t="n">
        <v>46230</v>
      </c>
    </row>
    <row r="27" customFormat="false" ht="30" hidden="false" customHeight="true" outlineLevel="0" collapsed="false">
      <c r="A27" s="8" t="s">
        <v>53</v>
      </c>
      <c r="B27" s="9" t="s">
        <v>68</v>
      </c>
      <c r="C27" s="9" t="s">
        <v>69</v>
      </c>
      <c r="D27" s="10" t="n">
        <v>1</v>
      </c>
      <c r="E27" s="9" t="s">
        <v>70</v>
      </c>
      <c r="F27" s="9" t="s">
        <v>71</v>
      </c>
      <c r="G27" s="11" t="n">
        <v>46230</v>
      </c>
    </row>
    <row r="28" customFormat="false" ht="30" hidden="false" customHeight="true" outlineLevel="0" collapsed="false">
      <c r="A28" s="8" t="s">
        <v>53</v>
      </c>
      <c r="B28" s="9" t="s">
        <v>72</v>
      </c>
      <c r="C28" s="9" t="s">
        <v>73</v>
      </c>
      <c r="D28" s="10" t="n">
        <v>1</v>
      </c>
      <c r="E28" s="9"/>
      <c r="F28" s="9" t="s">
        <v>71</v>
      </c>
      <c r="G28" s="11" t="n">
        <v>46230</v>
      </c>
    </row>
  </sheetData>
  <mergeCells count="5">
    <mergeCell ref="A2:G2"/>
    <mergeCell ref="A4:B4"/>
    <mergeCell ref="F4:G4"/>
    <mergeCell ref="A5:B5"/>
    <mergeCell ref="F5:G5"/>
  </mergeCells>
  <conditionalFormatting sqref="F5">
    <cfRule type="expression" priority="2" aboveAverage="0" equalAverage="0" bottom="0" percent="0" rank="0" text="" dxfId="8">
      <formula>$F$5&gt;0</formula>
    </cfRule>
  </conditionalFormatting>
  <conditionalFormatting sqref="A8:A41">
    <cfRule type="expression" priority="3" aboveAverage="0" equalAverage="0" bottom="0" percent="0" rank="0" text="" dxfId="9">
      <formula>$A8="Critical"</formula>
    </cfRule>
    <cfRule type="expression" priority="4" aboveAverage="0" equalAverage="0" bottom="0" percent="0" rank="0" text="" dxfId="10">
      <formula>$A8="Important"</formula>
    </cfRule>
    <cfRule type="expression" priority="5" aboveAverage="0" equalAverage="0" bottom="0" percent="0" rank="0" text="" dxfId="11">
      <formula>$A8="Routine"</formula>
    </cfRule>
  </conditionalFormatting>
  <conditionalFormatting sqref="G8:G41">
    <cfRule type="expression" priority="6" aboveAverage="0" equalAverage="0" bottom="0" percent="0" rank="0" text="" dxfId="12">
      <formula>AND($G8&lt;&gt;"",$G8&lt;TODAY()-14)</formula>
    </cfRule>
  </conditionalFormatting>
  <conditionalFormatting sqref="D8:D41">
    <cfRule type="dataBar" priority="7">
      <dataBar showValue="1" minLength="0" maxLength="100">
        <cfvo type="num" val="0"/>
        <cfvo type="num" val="1"/>
        <color rgb="FF9DBE85"/>
      </dataBar>
      <extLst>
        <ext xmlns:x14="http://schemas.microsoft.com/office/spreadsheetml/2009/9/main" uri="{B025F937-C7B1-47D3-B67F-A62EFF666E3E}">
          <x14:id>{BC89C539-82E6-4034-B97F-7B4F31F76199}</x14:id>
        </ext>
      </extLst>
    </cfRule>
  </conditionalFormatting>
  <dataValidations count="2">
    <dataValidation allowBlank="true" error="Choose Critical, Important or Routine." errorStyle="stop" errorTitle="Priority" operator="between" showDropDown="false" showErrorMessage="true" showInputMessage="false" sqref="A8:A41" type="list">
      <formula1>"Critical,Important,Routine"</formula1>
      <formula2>0</formula2>
    </dataValidation>
    <dataValidation allowBlank="true" error="Enter progress as a percentage between 0% and 100%." errorStyle="stop" errorTitle="Progress" operator="between" showDropDown="false" showErrorMessage="true" showInputMessage="false" sqref="D8:D41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C539-82E6-4034-B97F-7B4F31F76199}">
            <x14:dataBar minLength="0" maxLength="100" axisPosition="none" gradient="false" border="false">
              <x14:cfvo type="num">
                <xm:f>0</xm:f>
              </x14:cfvo>
              <x14:cfvo type="num">
                <xm:f>1</xm:f>
              </x14:cfvo>
              <x14:negativeFillColor rgb="FF9DBE85"/>
              <x14:axisColor rgb="FF000000"/>
            </x14:dataBar>
          </x14:cfRule>
          <xm:sqref>D8:D41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2026-08-26T20:36:04Z</dcterms:created>
  <dc:creator>NZALC</dc:creator>
  <dc:description/>
  <dc:language>en-US</dc:language>
  <cp:lastModifiedBy/>
  <dcterms:modified xsi:type="dcterms:W3CDTF">2026-08-26T20:36:04Z</dcterms:modified>
  <cp:revision>0</cp:revision>
  <dc:subject/>
  <dc:title>NZALC HQ Lines of Effort Tracker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