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/>
  <mc:AlternateContent xmlns:mc="http://schemas.openxmlformats.org/markup-compatibility/2006">
    <mc:Choice Requires="x15">
      <x15ac:absPath xmlns:x15ac="http://schemas.microsoft.com/office/spreadsheetml/2010/11/ac" url="\\praucvdina-c4f5.nzdf.dixs.mil.nz\redirectedfolders\p1023697\Desktop\"/>
    </mc:Choice>
  </mc:AlternateContent>
  <xr:revisionPtr revIDLastSave="0" documentId="8_{D61FBEB1-F68E-DD43-9064-A2F2A68E69F8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Lines of Effort Tracker" sheetId="1" r:id="rId1"/>
  </sheets>
  <definedNames>
    <definedName name="_xlnm.Print_Area" localSheetId="0">'Lines of Effort Tracker'!$A$1:$G$38</definedName>
    <definedName name="_xlnm.Print_Titles" localSheetId="0">'Lines of Effort Tracker'!$7:$7</definedName>
  </definedNam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A5" i="1"/>
</calcChain>
</file>

<file path=xl/sharedStrings.xml><?xml version="1.0" encoding="utf-8"?>
<sst xmlns="http://schemas.openxmlformats.org/spreadsheetml/2006/main" count="95" uniqueCount="73">
  <si>
    <t>NZALC HQ Lines of Effort Tracker</t>
  </si>
  <si>
    <t>ACTIVE LINES OF EFFORT</t>
  </si>
  <si>
    <t>CRITICAL</t>
  </si>
  <si>
    <t>IMPORTANT</t>
  </si>
  <si>
    <t>ROUTINE</t>
  </si>
  <si>
    <t>STALE (14+ DAYS)</t>
  </si>
  <si>
    <t>Priority</t>
  </si>
  <si>
    <t>Line of Effort</t>
  </si>
  <si>
    <t>End State / Output</t>
  </si>
  <si>
    <t>Progress %</t>
  </si>
  <si>
    <t>Next Action</t>
  </si>
  <si>
    <t>Notes</t>
  </si>
  <si>
    <t>Last Updated</t>
  </si>
  <si>
    <t>Critical</t>
  </si>
  <si>
    <t>Junior Officer Leadership Training</t>
  </si>
  <si>
    <t>Confirm direction with the boss, then draft the 1–2 page proposition for early Sep AITC</t>
  </si>
  <si>
    <t>Combat Mindset Submission</t>
  </si>
  <si>
    <t>Pacific Response Group (12 - 13 Aug 26)</t>
  </si>
  <si>
    <t>Activity delivered and post-activity actions closed</t>
  </si>
  <si>
    <t>Lead Systems Adventure Race (7 - 14 Aug 26)</t>
  </si>
  <si>
    <t>Race delivered and post-course actions closed</t>
  </si>
  <si>
    <t>Lead Systems, Alpine Tour (24 - 30 Aug 26)</t>
  </si>
  <si>
    <t>Tour delivered and post-course actions closed</t>
  </si>
  <si>
    <t>NZDF COTY Submission</t>
  </si>
  <si>
    <t>Request for Secondary Employment</t>
  </si>
  <si>
    <t>ORBAT confirmed, with contingency options for 2027 established</t>
  </si>
  <si>
    <t>Establish contingency options for 2027</t>
  </si>
  <si>
    <t>Important</t>
  </si>
  <si>
    <t>2 CDO COMD ELDA</t>
  </si>
  <si>
    <t>ELDA delivered to 2 CDO and closed out</t>
  </si>
  <si>
    <t>16-23 Mar 27 (potential dates)
1-pager submitted</t>
  </si>
  <si>
    <t>2/1 Leadership Integration Series</t>
  </si>
  <si>
    <t>All phases of the series delivered</t>
  </si>
  <si>
    <t>Ph 3 Nov</t>
  </si>
  <si>
    <t>Ph 2 complete</t>
  </si>
  <si>
    <t>FY Summary Production Process</t>
  </si>
  <si>
    <t>Production process documented as a written SOP</t>
  </si>
  <si>
    <t>ATG Professional Development</t>
  </si>
  <si>
    <t>Attendance completed</t>
  </si>
  <si>
    <t>2ER COMD ELDA</t>
  </si>
  <si>
    <t>ELDA delivered to 2ER and closed out</t>
  </si>
  <si>
    <t>TFCC Course Correction &amp; TF Instructor Transition</t>
  </si>
  <si>
    <t>Erroneous RF course requirement removed and TF instructor delivery in place</t>
  </si>
  <si>
    <t>Call Billy Vince to remove the RF course requirement</t>
  </si>
  <si>
    <t>Alpine Touring Resource Review</t>
  </si>
  <si>
    <t>Resource model decided — reduced internal footprint, contractor support, or course ceased</t>
  </si>
  <si>
    <t>Conduct the resource review with Tony</t>
  </si>
  <si>
    <t>Routine</t>
  </si>
  <si>
    <t>NZALC Strategic Planning Tool</t>
  </si>
  <si>
    <t>Planning tool developed and in use</t>
  </si>
  <si>
    <t>Clothing Cards</t>
  </si>
  <si>
    <t>Anaphalaxis Submission</t>
  </si>
  <si>
    <t>Command decision received and actioned</t>
  </si>
  <si>
    <t>Budget Builder</t>
  </si>
  <si>
    <t>FY26/27 budget model confirmed and issued</t>
  </si>
  <si>
    <t>NZALC Operating Manual</t>
  </si>
  <si>
    <t>Manual approved, published and in use</t>
  </si>
  <si>
    <t>Course Nomination &amp; Preparation SOP</t>
  </si>
  <si>
    <t>SOP approved and implemented</t>
  </si>
  <si>
    <t>ELDA Comd Review</t>
  </si>
  <si>
    <t>Review completed and reported</t>
  </si>
  <si>
    <t>Support to HUMINT Platoon FTX</t>
  </si>
  <si>
    <t>Support delivered to FTX</t>
  </si>
  <si>
    <t>Session delivered with 360-focused instructor support</t>
  </si>
  <si>
    <t>Calendar the session and allocate one — preferably two — instructors</t>
  </si>
  <si>
    <t>Lead Leaders formally endorsed through AITC</t>
  </si>
  <si>
    <t>Submit Storyboard to LCC through ACS</t>
  </si>
  <si>
    <t xml:space="preserve">NZALC ORBAT </t>
  </si>
  <si>
    <t>Jim - Retirement
Kate - Maternity
James - Family</t>
  </si>
  <si>
    <t>Awaiting feedback from 2 CDO HQ</t>
  </si>
  <si>
    <t>1 CSR Support Session (11 Oct 26)</t>
  </si>
  <si>
    <t>15 pax, LPR and Rocket Model (2x Instr)</t>
  </si>
  <si>
    <t>16 Nov (pm) LPR
17 Nov (am) Rocket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</si>
</sst>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9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7"/>
      <color rgb="FF002516"/>
      <name val="Arial"/>
      <family val="2"/>
    </font>
    <font>
      <b/>
      <sz val="22"/>
      <color rgb="FF000000"/>
      <name val="Arial"/>
      <family val="2"/>
    </font>
    <font>
      <b/>
      <sz val="8.5"/>
      <color rgb="FFFFFFFF"/>
      <name val="Arial"/>
      <family val="2"/>
    </font>
    <font>
      <sz val="10"/>
      <color rgb="FF222222"/>
      <name val="Arial"/>
      <family val="2"/>
    </font>
    <font>
      <sz val="10"/>
      <color rgb="FF8A8A8A"/>
      <name val="Arial"/>
      <family val="2"/>
    </font>
    <font>
      <sz val="10"/>
      <color rgb="FF222222"/>
      <name val="Arial"/>
      <family val="2"/>
    </font>
    <font>
      <sz val="10"/>
      <color rgb="FF22222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222222"/>
      </patternFill>
    </fill>
    <fill>
      <patternFill patternType="solid">
        <fgColor rgb="FFF6F6F3"/>
        <bgColor rgb="FFFFFFFF"/>
      </patternFill>
    </fill>
  </fills>
  <borders count="2">
    <border>
      <left/>
      <right/>
      <top/>
      <bottom/>
      <diagonal/>
    </border>
    <border>
      <left style="thin">
        <color rgb="FFD9D9D2"/>
      </left>
      <right style="thin">
        <color rgb="FFD9D9D2"/>
      </right>
      <top style="thin">
        <color rgb="FFD9D9D2"/>
      </top>
      <bottom style="thin">
        <color rgb="FFD9D9D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C62026"/>
        <name val="Arial"/>
        <charset val="1"/>
      </font>
    </dxf>
    <dxf>
      <font>
        <b/>
        <sz val="22"/>
        <color rgb="FFC62026"/>
        <name val="Arial"/>
        <charset val="1"/>
      </font>
    </dxf>
    <dxf>
      <font>
        <b/>
        <sz val="10"/>
        <color rgb="FF222222"/>
        <name val="Arial"/>
        <charset val="1"/>
      </font>
      <fill>
        <patternFill>
          <bgColor rgb="FFEEF1E5"/>
        </patternFill>
      </fill>
    </dxf>
    <dxf>
      <font>
        <b/>
        <sz val="10"/>
        <color rgb="FF002516"/>
        <name val="Arial"/>
        <charset val="1"/>
      </font>
      <fill>
        <patternFill>
          <bgColor rgb="FFCDD2B7"/>
        </patternFill>
      </fill>
    </dxf>
    <dxf>
      <font>
        <b/>
        <sz val="10"/>
        <color rgb="FFFFFFFF"/>
        <name val="Arial"/>
        <charset val="1"/>
      </font>
      <fill>
        <patternFill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A00"/>
      <rgbColor rgb="FFFF6600"/>
      <rgbColor rgb="FF666699"/>
      <rgbColor rgb="FF969696"/>
      <rgbColor rgb="FF003366"/>
      <rgbColor rgb="FF2E7D32"/>
      <rgbColor rgb="FF003300"/>
      <rgbColor rgb="FF3A2B00"/>
      <rgbColor rgb="FFC0392B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50800</xdr:rowOff>
    </xdr:from>
    <xdr:ext cx="1219200" cy="406400"/>
    <xdr:pic>
      <xdr:nvPicPr>
        <xdr:cNvPr id="2" name="NZ Arm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" cy="4064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oE" displayName="tblLoE" ref="A7:G31" totalsRowShown="0">
  <autoFilter ref="A7:G31" xr:uid="{00000000-0009-0000-0100-000001000000}"/>
  <tableColumns count="7">
    <tableColumn id="1" xr3:uid="{00000000-0010-0000-0000-000001000000}" name="Priority"/>
    <tableColumn id="2" xr3:uid="{00000000-0010-0000-0000-000002000000}" name="Line of Effort"/>
    <tableColumn id="3" xr3:uid="{00000000-0010-0000-0000-000003000000}" name="End State / Output"/>
    <tableColumn id="4" xr3:uid="{00000000-0010-0000-0000-000004000000}" name="Progress %"/>
    <tableColumn id="5" xr3:uid="{00000000-0010-0000-0000-000005000000}" name="Next Action"/>
    <tableColumn id="6" xr3:uid="{00000000-0010-0000-0000-000006000000}" name="Notes"/>
    <tableColumn id="7" xr3:uid="{00000000-0010-0000-0000-000007000000}" name="Last Upd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showGridLines="0" tabSelected="1" zoomScaleNormal="100" workbookViewId="0">
      <pane ySplit="7" topLeftCell="A8" activePane="bottomLeft" state="frozen"/>
      <selection pane="bottomLeft" activeCell="L21" sqref="L21"/>
    </sheetView>
  </sheetViews>
  <sheetFormatPr defaultColWidth="8.609375" defaultRowHeight="15" x14ac:dyDescent="0.2"/>
  <cols>
    <col min="1" max="1" width="18.5" customWidth="1"/>
    <col min="2" max="2" width="41.96875" customWidth="1"/>
    <col min="3" max="3" width="39.81640625" customWidth="1"/>
    <col min="4" max="4" width="32.8203125" customWidth="1"/>
    <col min="5" max="5" width="39.14453125" customWidth="1"/>
    <col min="6" max="6" width="34.03125" customWidth="1"/>
    <col min="7" max="7" width="13.98828125" customWidth="1"/>
  </cols>
  <sheetData>
    <row r="1" spans="1:7" ht="6" customHeight="1" x14ac:dyDescent="0.2"/>
    <row r="2" spans="1:7" ht="40" customHeight="1" x14ac:dyDescent="0.2">
      <c r="A2" s="13"/>
      <c r="B2" s="13" t="s">
        <v>0</v>
      </c>
      <c r="C2" s="13"/>
      <c r="D2" s="13"/>
      <c r="E2" s="13"/>
      <c r="F2" s="13"/>
      <c r="G2" s="13"/>
    </row>
    <row r="3" spans="1:7" ht="6" customHeight="1" x14ac:dyDescent="0.2"/>
    <row r="4" spans="1:7" ht="15" customHeight="1" x14ac:dyDescent="0.2">
      <c r="A4" s="14" t="s">
        <v>1</v>
      </c>
      <c r="B4" s="14"/>
      <c r="C4" s="2" t="s">
        <v>2</v>
      </c>
      <c r="D4" s="2" t="s">
        <v>3</v>
      </c>
      <c r="E4" s="2" t="s">
        <v>4</v>
      </c>
      <c r="F4" s="14" t="s">
        <v>5</v>
      </c>
      <c r="G4" s="14"/>
    </row>
    <row r="5" spans="1:7" ht="30" customHeight="1" x14ac:dyDescent="0.2">
      <c r="A5" s="15">
        <f>COUNTA(B8:B38)</f>
        <v>24</v>
      </c>
      <c r="B5" s="15"/>
      <c r="C5" s="1">
        <f>COUNTIF(A8:A38,"Critical")</f>
        <v>8</v>
      </c>
      <c r="D5" s="1">
        <f>COUNTIF(A8:A38,"Important")</f>
        <v>8</v>
      </c>
      <c r="E5" s="1">
        <f>COUNTIF(A8:A38,"Routine")</f>
        <v>8</v>
      </c>
      <c r="F5" s="15">
        <f ca="1">COUNTIF(G8:G38,"&lt;"&amp;TODAY()-14)</f>
        <v>0</v>
      </c>
      <c r="G5" s="15"/>
    </row>
    <row r="6" spans="1:7" ht="6" customHeight="1" x14ac:dyDescent="0.2"/>
    <row r="7" spans="1:7" ht="24" customHeight="1" x14ac:dyDescent="0.2">
      <c r="A7" s="3" t="s">
        <v>6</v>
      </c>
      <c r="B7" s="3" t="s">
        <v>7</v>
      </c>
      <c r="C7" s="3" t="s">
        <v>8</v>
      </c>
      <c r="D7" s="4" t="s">
        <v>9</v>
      </c>
      <c r="E7" s="3" t="s">
        <v>10</v>
      </c>
      <c r="F7" s="3" t="s">
        <v>11</v>
      </c>
      <c r="G7" s="4" t="s">
        <v>12</v>
      </c>
    </row>
    <row r="8" spans="1:7" ht="38.25" customHeight="1" x14ac:dyDescent="0.2">
      <c r="A8" s="5" t="s">
        <v>27</v>
      </c>
      <c r="B8" s="6" t="s">
        <v>14</v>
      </c>
      <c r="C8" s="6" t="s">
        <v>65</v>
      </c>
      <c r="D8" s="7">
        <v>0.1</v>
      </c>
      <c r="E8" s="6" t="s">
        <v>15</v>
      </c>
      <c r="F8" s="6"/>
      <c r="G8" s="8">
        <v>46261</v>
      </c>
    </row>
    <row r="9" spans="1:7" ht="30" customHeight="1" x14ac:dyDescent="0.2">
      <c r="A9" s="5" t="s">
        <v>13</v>
      </c>
      <c r="B9" s="9" t="s">
        <v>16</v>
      </c>
      <c r="C9" s="6"/>
      <c r="D9" s="7">
        <v>1</v>
      </c>
      <c r="E9" s="6"/>
      <c r="F9" s="6"/>
      <c r="G9" s="10">
        <v>46261</v>
      </c>
    </row>
    <row r="10" spans="1:7" ht="31.5" customHeight="1" x14ac:dyDescent="0.2">
      <c r="A10" s="5" t="s">
        <v>13</v>
      </c>
      <c r="B10" s="6" t="s">
        <v>17</v>
      </c>
      <c r="C10" s="6" t="s">
        <v>18</v>
      </c>
      <c r="D10" s="7">
        <v>0.98</v>
      </c>
      <c r="E10" s="11" t="s">
        <v>66</v>
      </c>
      <c r="F10" s="6"/>
      <c r="G10" s="8">
        <v>46261</v>
      </c>
    </row>
    <row r="11" spans="1:7" ht="31.5" customHeight="1" x14ac:dyDescent="0.2">
      <c r="A11" s="5" t="s">
        <v>13</v>
      </c>
      <c r="B11" s="6" t="s">
        <v>19</v>
      </c>
      <c r="C11" s="6" t="s">
        <v>20</v>
      </c>
      <c r="D11" s="7">
        <v>0.98</v>
      </c>
      <c r="E11" s="11" t="s">
        <v>66</v>
      </c>
      <c r="F11" s="6"/>
      <c r="G11" s="8">
        <v>46261</v>
      </c>
    </row>
    <row r="12" spans="1:7" ht="31.5" customHeight="1" x14ac:dyDescent="0.2">
      <c r="A12" s="5" t="s">
        <v>13</v>
      </c>
      <c r="B12" s="6" t="s">
        <v>21</v>
      </c>
      <c r="C12" s="6" t="s">
        <v>22</v>
      </c>
      <c r="D12" s="7">
        <v>0.8</v>
      </c>
      <c r="E12" s="6"/>
      <c r="F12" s="6"/>
      <c r="G12" s="12">
        <v>46261</v>
      </c>
    </row>
    <row r="13" spans="1:7" ht="30" customHeight="1" x14ac:dyDescent="0.2">
      <c r="A13" s="5" t="s">
        <v>13</v>
      </c>
      <c r="B13" s="9" t="s">
        <v>23</v>
      </c>
      <c r="C13" s="6"/>
      <c r="D13" s="7">
        <v>1</v>
      </c>
      <c r="E13" s="6"/>
      <c r="F13" s="6"/>
      <c r="G13" s="10">
        <v>46261</v>
      </c>
    </row>
    <row r="14" spans="1:7" ht="30" customHeight="1" x14ac:dyDescent="0.2">
      <c r="A14" s="5" t="s">
        <v>13</v>
      </c>
      <c r="B14" s="9" t="s">
        <v>24</v>
      </c>
      <c r="C14" s="6"/>
      <c r="D14" s="7">
        <v>1</v>
      </c>
      <c r="E14" s="6"/>
      <c r="F14" s="6"/>
      <c r="G14" s="10">
        <v>46261</v>
      </c>
    </row>
    <row r="15" spans="1:7" ht="36" x14ac:dyDescent="0.2">
      <c r="A15" s="5" t="s">
        <v>13</v>
      </c>
      <c r="B15" s="11" t="s">
        <v>67</v>
      </c>
      <c r="C15" s="6" t="s">
        <v>25</v>
      </c>
      <c r="D15" s="7">
        <v>0.5</v>
      </c>
      <c r="E15" s="6" t="s">
        <v>26</v>
      </c>
      <c r="F15" s="6" t="s">
        <v>68</v>
      </c>
      <c r="G15" s="8">
        <v>46261</v>
      </c>
    </row>
    <row r="16" spans="1:7" ht="31.5" customHeight="1" x14ac:dyDescent="0.2">
      <c r="A16" s="5" t="s">
        <v>27</v>
      </c>
      <c r="B16" s="6" t="s">
        <v>28</v>
      </c>
      <c r="C16" s="6" t="s">
        <v>29</v>
      </c>
      <c r="D16" s="7">
        <v>0.2</v>
      </c>
      <c r="E16" s="11" t="s">
        <v>69</v>
      </c>
      <c r="F16" s="6" t="s">
        <v>30</v>
      </c>
      <c r="G16" s="12">
        <v>46261</v>
      </c>
    </row>
    <row r="17" spans="1:7" ht="31.5" customHeight="1" x14ac:dyDescent="0.2">
      <c r="A17" s="5" t="s">
        <v>27</v>
      </c>
      <c r="B17" s="6" t="s">
        <v>31</v>
      </c>
      <c r="C17" s="6" t="s">
        <v>32</v>
      </c>
      <c r="D17" s="7">
        <v>0.7</v>
      </c>
      <c r="E17" s="6" t="s">
        <v>33</v>
      </c>
      <c r="F17" s="6" t="s">
        <v>34</v>
      </c>
      <c r="G17" s="8">
        <v>46261</v>
      </c>
    </row>
    <row r="18" spans="1:7" ht="31.5" customHeight="1" x14ac:dyDescent="0.2">
      <c r="A18" s="5" t="s">
        <v>27</v>
      </c>
      <c r="B18" s="9" t="s">
        <v>35</v>
      </c>
      <c r="C18" s="9" t="s">
        <v>36</v>
      </c>
      <c r="D18" s="7">
        <v>1</v>
      </c>
      <c r="E18" s="6"/>
      <c r="F18" s="6"/>
      <c r="G18" s="10">
        <v>46261</v>
      </c>
    </row>
    <row r="19" spans="1:7" ht="31.5" customHeight="1" x14ac:dyDescent="0.2">
      <c r="A19" s="5" t="s">
        <v>27</v>
      </c>
      <c r="B19" s="9" t="s">
        <v>37</v>
      </c>
      <c r="C19" s="9" t="s">
        <v>38</v>
      </c>
      <c r="D19" s="7">
        <v>1</v>
      </c>
      <c r="E19" s="6"/>
      <c r="F19" s="6"/>
      <c r="G19" s="10">
        <v>46261</v>
      </c>
    </row>
    <row r="20" spans="1:7" ht="31.5" customHeight="1" x14ac:dyDescent="0.2">
      <c r="A20" s="5" t="s">
        <v>27</v>
      </c>
      <c r="B20" s="6" t="s">
        <v>39</v>
      </c>
      <c r="C20" s="6" t="s">
        <v>40</v>
      </c>
      <c r="D20" s="7">
        <v>0.1</v>
      </c>
      <c r="E20" s="6" t="s">
        <v>71</v>
      </c>
      <c r="F20" s="6" t="s">
        <v>72</v>
      </c>
      <c r="G20" s="8">
        <v>46272</v>
      </c>
    </row>
    <row r="21" spans="1:7" ht="24.75" x14ac:dyDescent="0.2">
      <c r="A21" s="5" t="s">
        <v>27</v>
      </c>
      <c r="B21" s="6" t="s">
        <v>41</v>
      </c>
      <c r="C21" s="6" t="s">
        <v>42</v>
      </c>
      <c r="D21" s="7">
        <v>0.4</v>
      </c>
      <c r="E21" s="6" t="s">
        <v>43</v>
      </c>
      <c r="F21" s="6"/>
      <c r="G21" s="8">
        <v>46261</v>
      </c>
    </row>
    <row r="22" spans="1:7" ht="24.75" x14ac:dyDescent="0.2">
      <c r="A22" s="5" t="s">
        <v>27</v>
      </c>
      <c r="B22" s="6" t="s">
        <v>44</v>
      </c>
      <c r="C22" s="6" t="s">
        <v>45</v>
      </c>
      <c r="D22" s="7">
        <v>0.05</v>
      </c>
      <c r="E22" s="6" t="s">
        <v>46</v>
      </c>
      <c r="F22" s="6"/>
      <c r="G22" s="8">
        <v>46261</v>
      </c>
    </row>
    <row r="23" spans="1:7" ht="31.5" customHeight="1" x14ac:dyDescent="0.2">
      <c r="A23" s="5" t="s">
        <v>47</v>
      </c>
      <c r="B23" s="6" t="s">
        <v>48</v>
      </c>
      <c r="C23" s="6" t="s">
        <v>49</v>
      </c>
      <c r="D23" s="7">
        <v>0</v>
      </c>
      <c r="E23" s="6"/>
      <c r="F23" s="6"/>
      <c r="G23" s="8">
        <v>46261</v>
      </c>
    </row>
    <row r="24" spans="1:7" ht="30" customHeight="1" x14ac:dyDescent="0.2">
      <c r="A24" s="5" t="s">
        <v>47</v>
      </c>
      <c r="B24" s="9" t="s">
        <v>50</v>
      </c>
      <c r="C24" s="6"/>
      <c r="D24" s="7">
        <v>1</v>
      </c>
      <c r="E24" s="6"/>
      <c r="F24" s="6"/>
      <c r="G24" s="10">
        <v>46261</v>
      </c>
    </row>
    <row r="25" spans="1:7" ht="31.5" customHeight="1" x14ac:dyDescent="0.2">
      <c r="A25" s="5" t="s">
        <v>47</v>
      </c>
      <c r="B25" s="9" t="s">
        <v>51</v>
      </c>
      <c r="C25" s="9" t="s">
        <v>52</v>
      </c>
      <c r="D25" s="7">
        <v>1</v>
      </c>
      <c r="E25" s="6"/>
      <c r="F25" s="6"/>
      <c r="G25" s="10">
        <v>46261</v>
      </c>
    </row>
    <row r="26" spans="1:7" ht="31.5" customHeight="1" x14ac:dyDescent="0.2">
      <c r="A26" s="5" t="s">
        <v>47</v>
      </c>
      <c r="B26" s="9" t="s">
        <v>53</v>
      </c>
      <c r="C26" s="9" t="s">
        <v>54</v>
      </c>
      <c r="D26" s="7">
        <v>1</v>
      </c>
      <c r="E26" s="6"/>
      <c r="F26" s="6"/>
      <c r="G26" s="10">
        <v>46261</v>
      </c>
    </row>
    <row r="27" spans="1:7" ht="31.5" customHeight="1" x14ac:dyDescent="0.2">
      <c r="A27" s="5" t="s">
        <v>47</v>
      </c>
      <c r="B27" s="9" t="s">
        <v>55</v>
      </c>
      <c r="C27" s="9" t="s">
        <v>56</v>
      </c>
      <c r="D27" s="7">
        <v>1</v>
      </c>
      <c r="E27" s="6"/>
      <c r="F27" s="6"/>
      <c r="G27" s="10">
        <v>46261</v>
      </c>
    </row>
    <row r="28" spans="1:7" ht="30" customHeight="1" x14ac:dyDescent="0.2">
      <c r="A28" s="5" t="s">
        <v>47</v>
      </c>
      <c r="B28" s="9" t="s">
        <v>57</v>
      </c>
      <c r="C28" s="9" t="s">
        <v>58</v>
      </c>
      <c r="D28" s="7">
        <v>1</v>
      </c>
      <c r="E28" s="6"/>
      <c r="F28" s="6"/>
      <c r="G28" s="10">
        <v>46261</v>
      </c>
    </row>
    <row r="29" spans="1:7" ht="45" customHeight="1" x14ac:dyDescent="0.2">
      <c r="A29" s="5" t="s">
        <v>47</v>
      </c>
      <c r="B29" s="9" t="s">
        <v>59</v>
      </c>
      <c r="C29" s="9" t="s">
        <v>60</v>
      </c>
      <c r="D29" s="7">
        <v>1</v>
      </c>
      <c r="E29" s="6"/>
      <c r="F29" s="6"/>
      <c r="G29" s="10">
        <v>46261</v>
      </c>
    </row>
    <row r="30" spans="1:7" ht="31.5" customHeight="1" x14ac:dyDescent="0.2">
      <c r="A30" s="5" t="s">
        <v>47</v>
      </c>
      <c r="B30" s="9" t="s">
        <v>61</v>
      </c>
      <c r="C30" s="9" t="s">
        <v>62</v>
      </c>
      <c r="D30" s="7">
        <v>1</v>
      </c>
      <c r="E30" s="6"/>
      <c r="F30" s="6"/>
      <c r="G30" s="10">
        <v>46261</v>
      </c>
    </row>
    <row r="31" spans="1:7" ht="24.75" x14ac:dyDescent="0.2">
      <c r="A31" s="5" t="s">
        <v>13</v>
      </c>
      <c r="B31" s="11" t="s">
        <v>70</v>
      </c>
      <c r="C31" s="6" t="s">
        <v>63</v>
      </c>
      <c r="D31" s="7">
        <v>0</v>
      </c>
      <c r="E31" s="6" t="s">
        <v>64</v>
      </c>
      <c r="F31" s="6"/>
      <c r="G31" s="8">
        <v>46261</v>
      </c>
    </row>
  </sheetData>
  <mergeCells count="5">
    <mergeCell ref="B2:G2"/>
    <mergeCell ref="A4:B4"/>
    <mergeCell ref="F4:G4"/>
    <mergeCell ref="A5:B5"/>
    <mergeCell ref="F5:G5"/>
  </mergeCells>
  <conditionalFormatting sqref="A8:A38">
    <cfRule type="expression" dxfId="4" priority="3">
      <formula>$A8="Critical"</formula>
    </cfRule>
    <cfRule type="expression" dxfId="3" priority="4">
      <formula>$A8="Important"</formula>
    </cfRule>
    <cfRule type="expression" dxfId="2" priority="5">
      <formula>$A8="Routine"</formula>
    </cfRule>
  </conditionalFormatting>
  <conditionalFormatting sqref="D8:D38">
    <cfRule type="dataBar" priority="7">
      <dataBar>
        <cfvo type="num" val="0"/>
        <cfvo type="num" val="1"/>
        <color rgb="FFCDD2B7"/>
      </dataBar>
      <extLst>
        <ext xmlns:x14="http://schemas.microsoft.com/office/spreadsheetml/2009/9/main" uri="{B025F937-C7B1-47D3-B67F-A62EFF666E3E}">
          <x14:id>{2D93C78C-BF60-4E3A-A2BA-B058DB9082A2}</x14:id>
        </ext>
      </extLst>
    </cfRule>
  </conditionalFormatting>
  <conditionalFormatting sqref="F5">
    <cfRule type="expression" dxfId="1" priority="2">
      <formula>$F$5&gt;0</formula>
    </cfRule>
  </conditionalFormatting>
  <conditionalFormatting sqref="G8:G38">
    <cfRule type="expression" dxfId="0" priority="6">
      <formula>AND($G8&lt;&gt;"",$G8&lt;TODAY()-14)</formula>
    </cfRule>
  </conditionalFormatting>
  <dataValidations count="2">
    <dataValidation type="list" allowBlank="1" showErrorMessage="1" errorTitle="Priority" error="Choose Critical, Important or Routine." sqref="A8:A38" xr:uid="{00000000-0002-0000-0000-000000000000}">
      <formula1>"Critical,Important,Routine"</formula1>
      <formula2>0</formula2>
    </dataValidation>
    <dataValidation type="decimal" allowBlank="1" showErrorMessage="1" errorTitle="Progress" error="Enter progress as a percentage between 0% and 100%." sqref="D8:D38" xr:uid="{00000000-0002-0000-0000-000001000000}">
      <formula1>0</formula1>
      <formula2>1</formula2>
    </dataValidation>
  </dataValidations>
  <pageMargins left="0.4" right="0.4" top="0.5" bottom="0.5" header="0.511811023622047" footer="0.511811023622047"/>
  <pageSetup paperSize="8" scale="79" orientation="landscape" horizontalDpi="300" verticalDpi="300" r:id="rId1"/>
  <headerFooter>
    <oddHeader>&amp;C&amp;"Calibri Bold"&amp;12&amp;K000000 UNCLASSIFIED&amp;1#_x000D_</oddHeader>
    <oddFooter>&amp;C_x000D_&amp;1#&amp;"Calibri Bold"&amp;12&amp;K000000 UNCLASSIFIED</oddFooter>
  </headerFooter>
  <drawing r:id="rIdDrawing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3C78C-BF60-4E3A-A2BA-B058DB9082A2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CDD2B7"/>
            </x14:dataBar>
          </x14:cfRule>
          <xm:sqref>D8:D38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Lines of Effort Tracker</vt:lpstr>
      <vt:lpstr>Lines of Effort Tracker!Print_Area</vt:lpstr>
      <vt:lpstr>Lines of Effort 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NZALC HQ Lines of Effort Tracker</dc:title>
  <dc:subject/>
  <dc:creator>NZALC</dc:creator>
  <dc:description/>
  <cp:lastModifiedBy>Coom, Michael, MAJ</cp:lastModifiedBy>
  <cp:revision>0</cp:revision>
  <cp:lastPrinted>2026-08-27T03:04:55Z</cp:lastPrinted>
  <dcterms:created xsi:type="dcterms:W3CDTF">2026-08-27T01:27:34Z</dcterms:created>
  <dcterms:modified xsi:type="dcterms:W3CDTF">2026-09-06T21:35:37Z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e62fd-8656-424e-8661-07f58c3c8081_Enabled">
    <vt:lpwstr>true</vt:lpwstr>
  </property>
  <property fmtid="{D5CDD505-2E9C-101B-9397-08002B2CF9AE}" pid="3" name="MSIP_Label_eb8e62fd-8656-424e-8661-07f58c3c8081_SetDate">
    <vt:lpwstr>2026-08-27T01:39:24Z</vt:lpwstr>
  </property>
  <property fmtid="{D5CDD505-2E9C-101B-9397-08002B2CF9AE}" pid="4" name="MSIP_Label_eb8e62fd-8656-424e-8661-07f58c3c8081_Method">
    <vt:lpwstr>Privileged</vt:lpwstr>
  </property>
  <property fmtid="{D5CDD505-2E9C-101B-9397-08002B2CF9AE}" pid="5" name="MSIP_Label_eb8e62fd-8656-424e-8661-07f58c3c8081_Name">
    <vt:lpwstr>UNCLASSIFIED</vt:lpwstr>
  </property>
  <property fmtid="{D5CDD505-2E9C-101B-9397-08002B2CF9AE}" pid="6" name="MSIP_Label_eb8e62fd-8656-424e-8661-07f58c3c8081_SiteId">
    <vt:lpwstr>5f93a2cf-4cc4-49d6-9ef9-d78a67690390</vt:lpwstr>
  </property>
  <property fmtid="{D5CDD505-2E9C-101B-9397-08002B2CF9AE}" pid="7" name="MSIP_Label_eb8e62fd-8656-424e-8661-07f58c3c8081_ActionId">
    <vt:lpwstr>587ff97a-909c-4d54-ba45-d194d9c7c9fc</vt:lpwstr>
  </property>
  <property fmtid="{D5CDD505-2E9C-101B-9397-08002B2CF9AE}" pid="8" name="MSIP_Label_eb8e62fd-8656-424e-8661-07f58c3c8081_ContentBits">
    <vt:lpwstr>3</vt:lpwstr>
  </property>
  <property fmtid="{D5CDD505-2E9C-101B-9397-08002B2CF9AE}" pid="9" name="MSIP_Label_eb8e62fd-8656-424e-8661-07f58c3c8081_Tag">
    <vt:lpwstr>10, 0, 1, 1</vt:lpwstr>
  </property>
</Properties>
</file>